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00" windowHeight="14540" tabRatio="500" activeTab="1"/>
  </bookViews>
  <sheets>
    <sheet name="ROI Model 5090" sheetId="1" r:id="rId1"/>
    <sheet name="ROI Model pro 6000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<sst xmlns="http://schemas.openxmlformats.org/spreadsheetml/2006/main" count="266" uniqueCount="105">
  <si>
    <t>GPU Bare Metal Rental — ROI Calculation</t>
  </si>
  <si>
    <t>RTX 5090  ·  Single Container  ·  USD  ·  Atlanta, GA</t>
  </si>
  <si>
    <t>SHARED ASSUMPTIONS 共同假设/单集装箱</t>
  </si>
  <si>
    <t>Container cost 集装箱成本</t>
  </si>
  <si>
    <t>Allocated Site construction &amp; facilities 分摊场地施工及设施</t>
  </si>
  <si>
    <t>Infrastructure CAPEX 基础设施CAPEX</t>
  </si>
  <si>
    <t>Electricity cost ($/kW/month) 电费</t>
  </si>
  <si>
    <t>Network opex ($/month, 10Gbps) 网络费用</t>
  </si>
  <si>
    <t>O&amp;M opex ($/container/month) 运维费用</t>
  </si>
  <si>
    <t>Insurance / spare parts (% of revenue) 保险/备件等</t>
  </si>
  <si>
    <t>Property tax (% of CAPEX, annual) 财产税</t>
  </si>
  <si>
    <t>Federal tax (% of EBIT) 联邦税</t>
  </si>
  <si>
    <t>State tax (% of EBIT) 州税 — Georgia 佐治亚州</t>
  </si>
  <si>
    <t>Other opex (% of revenue) 其他运营费</t>
  </si>
  <si>
    <t>Hours per year 年小时数</t>
  </si>
  <si>
    <t>Discount rate for NPV 折现率</t>
  </si>
  <si>
    <t>GPU-SPECIFIC ASSUMPTIONS GPU专项假设</t>
  </si>
  <si>
    <t>RTX 5090</t>
  </si>
  <si>
    <t>Server price 服务器单价</t>
  </si>
  <si>
    <t>Servers per container 每集装箱服务器数</t>
  </si>
  <si>
    <t>GPUs per server 每服务器GPU数</t>
  </si>
  <si>
    <t>Total GPUs GPU总数</t>
  </si>
  <si>
    <t>IT load per server (kW) 单服务器IT负载</t>
  </si>
  <si>
    <t>PUE</t>
  </si>
  <si>
    <t>GPU rental price ($/GPU-hr) GPU租赁价格</t>
  </si>
  <si>
    <t>Utilization rate 出租率</t>
  </si>
  <si>
    <t>Useful life (years) 使用年限</t>
  </si>
  <si>
    <t>Residual value 残值率</t>
  </si>
  <si>
    <t>Annual GPU rental price erosion rate 年化价格腐蚀率</t>
  </si>
  <si>
    <t>CAPEX SUMMARY CAPEX汇总</t>
  </si>
  <si>
    <t>Server CAPEX 服务器CAPEX</t>
  </si>
  <si>
    <t>Total CAPEX 总CAPEX</t>
  </si>
  <si>
    <t>ANNUAL OPERATING P&amp;L 年度经营损益</t>
  </si>
  <si>
    <t>Revenue 营业收入</t>
  </si>
  <si>
    <t xml:space="preserve">  Electricity 电费</t>
  </si>
  <si>
    <t xml:space="preserve">  Network 网络</t>
  </si>
  <si>
    <t xml:space="preserve">  O&amp;M 运维</t>
  </si>
  <si>
    <t xml:space="preserve">  Insurance / spare parts 保险/备件</t>
  </si>
  <si>
    <t xml:space="preserve">  Property tax 财产税</t>
  </si>
  <si>
    <t xml:space="preserve">  Other opex 其他运营费</t>
  </si>
  <si>
    <t>Total OpEx 总运营成本</t>
  </si>
  <si>
    <t>EBITDA</t>
  </si>
  <si>
    <t>OpEx as % of revenue 运营成本率</t>
  </si>
  <si>
    <t>operation margin 运营毛利率</t>
  </si>
  <si>
    <t>Depreciation (straight-line) 折旧(直线法)</t>
  </si>
  <si>
    <t>EBIT (after depreciation) 息税前利润</t>
  </si>
  <si>
    <r>
      <t xml:space="preserve">Federal and state tax (% of EBIT) </t>
    </r>
    <r>
      <rPr>
        <sz val="11"/>
        <color theme="1"/>
        <rFont val="宋体-简"/>
        <charset val="1"/>
      </rPr>
      <t>联邦和州税</t>
    </r>
  </si>
  <si>
    <t>Net Cash Flow净现金流</t>
  </si>
  <si>
    <t>PER-GPU ECONOMICS 单GPU经济性 (Annual 年度)</t>
  </si>
  <si>
    <t>Revenue per GPU 单GPU营收</t>
  </si>
  <si>
    <t>OpEx per GPU 单GPU运营成本</t>
  </si>
  <si>
    <t>NCF per GPU 单GPU净现金流</t>
  </si>
  <si>
    <t>CAPEX per GPU 单GPU CAPEX</t>
  </si>
  <si>
    <t>POWER PROFILE 电力</t>
  </si>
  <si>
    <t>IT load (kW) IT负载</t>
  </si>
  <si>
    <t>Total power draw incl. PUE (kW) 总用电</t>
  </si>
  <si>
    <t>Revenue per kW (annual) 每kW年营收</t>
  </si>
  <si>
    <t>NCF per kW (annual) 每kW年NCF</t>
  </si>
  <si>
    <t>ROI COMPARISON ROI对比</t>
  </si>
  <si>
    <t>直线折旧</t>
  </si>
  <si>
    <t>加速折旧</t>
  </si>
  <si>
    <t>Project horizon 项目周期</t>
  </si>
  <si>
    <t>Annual cash-on-cash return 年化现金回报</t>
  </si>
  <si>
    <t>Simple payback 简单回收期</t>
  </si>
  <si>
    <r>
      <t xml:space="preserve">WITHOUT RESIDUAL VALUE </t>
    </r>
    <r>
      <rPr>
        <b/>
        <sz val="9"/>
        <color rgb="FF555555"/>
        <rFont val="宋体-简"/>
        <charset val="134"/>
      </rPr>
      <t>不含残值</t>
    </r>
  </si>
  <si>
    <t>Total ROI 总投资回报</t>
  </si>
  <si>
    <t>MOIC 投入资本倍数</t>
  </si>
  <si>
    <t>Unlevered IRR 无杠杆IRR</t>
  </si>
  <si>
    <t>NPV 净现值</t>
  </si>
  <si>
    <r>
      <t xml:space="preserve">WITH RESIDUAL VALUE </t>
    </r>
    <r>
      <rPr>
        <b/>
        <sz val="9"/>
        <color rgb="FF555555"/>
        <rFont val="宋体-简"/>
        <charset val="134"/>
      </rPr>
      <t>含残值</t>
    </r>
    <r>
      <rPr>
        <b/>
        <sz val="9"/>
        <color rgb="FF555555"/>
        <rFont val="Arial"/>
        <charset val="134"/>
      </rPr>
      <t xml:space="preserve"> </t>
    </r>
  </si>
  <si>
    <t>Server residual value 服务器残值</t>
  </si>
  <si>
    <r>
      <t xml:space="preserve">NPV </t>
    </r>
    <r>
      <rPr>
        <sz val="11"/>
        <color theme="1"/>
        <rFont val="宋体-简"/>
        <charset val="1"/>
      </rPr>
      <t>差值</t>
    </r>
  </si>
  <si>
    <t>CASH FLOW SCHEDULE 现金流明细</t>
  </si>
  <si>
    <r>
      <t xml:space="preserve">RTX 5090  —  </t>
    </r>
    <r>
      <rPr>
        <b/>
        <sz val="9"/>
        <color rgb="FF1F5C8B"/>
        <rFont val="宋体-简"/>
        <charset val="1"/>
      </rPr>
      <t>直线折旧</t>
    </r>
  </si>
  <si>
    <t>Year 0</t>
  </si>
  <si>
    <t>Year 1</t>
  </si>
  <si>
    <t>Year 2</t>
  </si>
  <si>
    <t>Year 3</t>
  </si>
  <si>
    <t>Year 4</t>
  </si>
  <si>
    <t>Year 5</t>
  </si>
  <si>
    <t>cash flow w/o residual</t>
  </si>
  <si>
    <t>cahs flow w residual</t>
  </si>
  <si>
    <r>
      <t xml:space="preserve">Cumulative (w/ res.) </t>
    </r>
    <r>
      <rPr>
        <sz val="10"/>
        <color rgb="FF000000"/>
        <rFont val="宋体-简"/>
        <charset val="134"/>
      </rPr>
      <t>累计</t>
    </r>
    <r>
      <rPr>
        <sz val="10"/>
        <color rgb="FF000000"/>
        <rFont val="Arial"/>
        <charset val="134"/>
      </rPr>
      <t>(</t>
    </r>
    <r>
      <rPr>
        <sz val="10"/>
        <color rgb="FF000000"/>
        <rFont val="宋体-简"/>
        <charset val="134"/>
      </rPr>
      <t>含残值</t>
    </r>
    <r>
      <rPr>
        <sz val="10"/>
        <color rgb="FF000000"/>
        <rFont val="Arial"/>
        <charset val="134"/>
      </rPr>
      <t>)</t>
    </r>
  </si>
  <si>
    <r>
      <t xml:space="preserve">GEORGIA — 100% BONUS DEPRECIATION (OBBBA) </t>
    </r>
    <r>
      <rPr>
        <b/>
        <sz val="13"/>
        <color rgb="FFFFFFFF"/>
        <rFont val="宋体-简"/>
        <charset val="1"/>
      </rPr>
      <t>加速折旧</t>
    </r>
  </si>
  <si>
    <t>Applies to assets placed in service after Jan 19, 2025  ·  Signed into law July 4, 2025 (OBBBA)</t>
  </si>
  <si>
    <t>Federal corporate tax rate 联邦企业税率 (for OBBBA calc)</t>
  </si>
  <si>
    <t>Combined effective rate (fed+GA seq.):</t>
  </si>
  <si>
    <r>
      <t xml:space="preserve">5-Year Cash Flow Schedule (Atlanta, Georgia  ·  OBBBA 100% Depreciation)  </t>
    </r>
    <r>
      <rPr>
        <b/>
        <sz val="10"/>
        <color rgb="FF1C2833"/>
        <rFont val="宋体-简"/>
        <charset val="1"/>
      </rPr>
      <t>加速折旧</t>
    </r>
  </si>
  <si>
    <t>cash flow w residual</t>
  </si>
  <si>
    <t>Cumulative (w/ res.) 累计(含残值)</t>
  </si>
  <si>
    <t>IRR (w/o residual)</t>
  </si>
  <si>
    <t>IRR (with residual)</t>
  </si>
  <si>
    <t>NPV @ 10% (with residual)</t>
  </si>
  <si>
    <t>Simple Payback</t>
  </si>
  <si>
    <t>Note (OBBBA):  Under OBBBA (signed July 4, 2025), 100% bonus depreciation applies to assets placed in service after Jan 19, 2025.</t>
  </si>
  <si>
    <t>Year-Specific Revenue &amp; Cash Flow</t>
  </si>
  <si>
    <t>Fixed OpEx ($/yr): elec+network+O&amp;M+prop.tax</t>
  </si>
  <si>
    <t>Revenue ($)</t>
  </si>
  <si>
    <t>EBITDA ($)</t>
  </si>
  <si>
    <t>NOL</t>
  </si>
  <si>
    <t>应税收入</t>
  </si>
  <si>
    <t>NCF ($) — NOL Carryforward</t>
  </si>
  <si>
    <r>
      <t xml:space="preserve">OBBBA </t>
    </r>
    <r>
      <rPr>
        <sz val="11"/>
        <color theme="1"/>
        <rFont val="宋体-简"/>
        <charset val="1"/>
      </rPr>
      <t>在</t>
    </r>
    <r>
      <rPr>
        <sz val="11"/>
        <color theme="1"/>
        <rFont val="Calibri"/>
        <charset val="1"/>
      </rPr>
      <t xml:space="preserve"> Y1 </t>
    </r>
    <r>
      <rPr>
        <sz val="11"/>
        <color theme="1"/>
        <rFont val="宋体-简"/>
        <charset val="1"/>
      </rPr>
      <t>产生了一个巨大的</t>
    </r>
    <r>
      <rPr>
        <sz val="11"/>
        <color theme="1"/>
        <rFont val="Calibri"/>
        <charset val="1"/>
      </rPr>
      <t>"</t>
    </r>
    <r>
      <rPr>
        <sz val="11"/>
        <color theme="1"/>
        <rFont val="宋体-简"/>
        <charset val="1"/>
      </rPr>
      <t>亏损余额</t>
    </r>
    <r>
      <rPr>
        <sz val="11"/>
        <color theme="1"/>
        <rFont val="Calibri"/>
        <charset val="1"/>
      </rPr>
      <t>"</t>
    </r>
    <r>
      <rPr>
        <sz val="11"/>
        <color theme="1"/>
        <rFont val="宋体-简"/>
        <charset val="1"/>
      </rPr>
      <t>（</t>
    </r>
    <r>
      <rPr>
        <sz val="11"/>
        <color theme="1"/>
        <rFont val="Calibri"/>
        <charset val="1"/>
      </rPr>
      <t>NOL</t>
    </r>
    <r>
      <rPr>
        <sz val="11"/>
        <color theme="1"/>
        <rFont val="宋体-简"/>
        <charset val="1"/>
      </rPr>
      <t>），税法允许你把它带到未来年份去抵消收入。</t>
    </r>
  </si>
  <si>
    <t>── PRICE EROSION IMPACT ── Year-Specific Revenue &amp; Cash Flow</t>
  </si>
  <si>
    <t>Pro 6000  ·  Single Container  ·  USD  ·  Atlanta, 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</si>
</sst>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6" formatCode="&quot;$&quot;#,##0_);[Red]\(&quot;$&quot;#,##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;&quot;($&quot;#,##0\);\-"/>
    <numFmt numFmtId="177" formatCode="&quot;$&quot;#,##0"/>
    <numFmt numFmtId="178" formatCode="0.0%"/>
    <numFmt numFmtId="179" formatCode="0.0"/>
    <numFmt numFmtId="180" formatCode="&quot;$&quot;#,##0.00"/>
    <numFmt numFmtId="181" formatCode="0&quot; yrs&quot;"/>
    <numFmt numFmtId="182" formatCode="0.00&quot; yrs&quot;"/>
    <numFmt numFmtId="183" formatCode="0.00\x"/>
    <numFmt numFmtId="184" formatCode="0.00&quot; years&quot;"/>
  </numFmts>
  <fonts count="75">
    <font>
      <sz val="11"/>
      <color theme="1"/>
      <name val="Calibri"/>
      <charset val="1"/>
    </font>
    <font>
      <b/>
      <sz val="14"/>
      <color rgb="FF1A1A1A"/>
      <name val="Calibri"/>
      <charset val="134"/>
    </font>
    <font>
      <b/>
      <sz val="12"/>
      <name val="Calibri"/>
      <charset val="1"/>
    </font>
    <font>
      <i/>
      <sz val="8"/>
      <color rgb="FF999999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10"/>
      <color rgb="FF0000FF"/>
      <name val="Calibri"/>
      <charset val="134"/>
    </font>
    <font>
      <b/>
      <sz val="10"/>
      <color rgb="FF000000"/>
      <name val="Calibri"/>
      <charset val="134"/>
    </font>
    <font>
      <b/>
      <sz val="10"/>
      <color rgb="FF333333"/>
      <name val="Calibri"/>
      <charset val="134"/>
    </font>
    <font>
      <i/>
      <sz val="9"/>
      <color rgb="FF595959"/>
      <name val="Calibri"/>
      <charset val="134"/>
    </font>
    <font>
      <b/>
      <sz val="10"/>
      <color rgb="FF333333"/>
      <name val="宋体-简"/>
      <charset val="134"/>
    </font>
    <font>
      <sz val="11"/>
      <color theme="1"/>
      <name val="宋体-简"/>
      <charset val="1"/>
    </font>
    <font>
      <b/>
      <sz val="9"/>
      <color rgb="FF1F5C8B"/>
      <name val="Calibri"/>
      <charset val="1"/>
    </font>
    <font>
      <b/>
      <sz val="9"/>
      <color rgb="FF555555"/>
      <name val="Arial"/>
      <charset val="134"/>
    </font>
    <font>
      <b/>
      <sz val="9"/>
      <color rgb="FF1F5C8B"/>
      <name val="宋体-简"/>
      <charset val="1"/>
    </font>
    <font>
      <sz val="10"/>
      <color rgb="FF000000"/>
      <name val="Arial"/>
      <charset val="134"/>
    </font>
    <font>
      <i/>
      <sz val="8"/>
      <color rgb="FF666666"/>
      <name val="Calibri"/>
      <charset val="1"/>
    </font>
    <font>
      <b/>
      <sz val="13"/>
      <color rgb="FFFFFFFF"/>
      <name val="Calibri"/>
      <charset val="1"/>
    </font>
    <font>
      <i/>
      <sz val="9"/>
      <color rgb="FF555555"/>
      <name val="Calibri"/>
      <charset val="1"/>
    </font>
    <font>
      <sz val="9"/>
      <color rgb="FF1C2833"/>
      <name val="Calibri"/>
      <charset val="134"/>
    </font>
    <font>
      <b/>
      <sz val="9"/>
      <color rgb="FF0000FF"/>
      <name val="Calibri"/>
      <charset val="134"/>
    </font>
    <font>
      <i/>
      <sz val="9"/>
      <color rgb="FF717D8A"/>
      <name val="Calibri"/>
      <charset val="134"/>
    </font>
    <font>
      <b/>
      <sz val="9"/>
      <color rgb="FF27AE60"/>
      <name val="Calibri"/>
      <charset val="134"/>
    </font>
    <font>
      <b/>
      <sz val="10"/>
      <color rgb="FF1C2833"/>
      <name val="Calibri"/>
      <charset val="1"/>
    </font>
    <font>
      <b/>
      <sz val="10"/>
      <color rgb="FFFFFFFF"/>
      <name val="Calibri"/>
      <charset val="1"/>
    </font>
    <font>
      <sz val="9"/>
      <color rgb="FF1C2833"/>
      <name val="Calibri"/>
      <charset val="1"/>
    </font>
    <font>
      <sz val="9"/>
      <color rgb="FF00B050"/>
      <name val="Calibri"/>
      <charset val="134"/>
    </font>
    <font>
      <i/>
      <sz val="8"/>
      <color rgb="FF555555"/>
      <name val="Calibri"/>
      <charset val="1"/>
    </font>
    <font>
      <b/>
      <sz val="10"/>
      <name val="Calibri"/>
      <charset val="134"/>
    </font>
    <font>
      <i/>
      <sz val="9"/>
      <color rgb="FF808080"/>
      <name val="Calibri"/>
      <charset val="134"/>
    </font>
    <font>
      <sz val="10"/>
      <color rgb="FF008000"/>
      <name val="Calibri"/>
      <charset val="134"/>
    </font>
    <font>
      <sz val="10"/>
      <color rgb="FF000000"/>
      <name val="宋体-简"/>
      <charset val="134"/>
    </font>
    <font>
      <b/>
      <sz val="11"/>
      <color theme="1"/>
      <name val="Calibri"/>
      <charset val="1"/>
    </font>
    <font>
      <sz val="10"/>
      <color theme="1"/>
      <name val="Arial Unicode MS"/>
      <charset val="1"/>
    </font>
    <font>
      <b/>
      <sz val="11"/>
      <color theme="1"/>
      <name val="宋体-简"/>
      <charset val="1"/>
    </font>
    <font>
      <b/>
      <sz val="14"/>
      <color rgb="FF1A1A1A"/>
      <name val="Arial"/>
      <charset val="134"/>
    </font>
    <font>
      <i/>
      <sz val="8"/>
      <color rgb="FF999999"/>
      <name val="Arial"/>
      <charset val="134"/>
    </font>
    <font>
      <b/>
      <sz val="10"/>
      <color rgb="FFFFFFFF"/>
      <name val="Arial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rgb="FF333333"/>
      <name val="Arial"/>
      <charset val="134"/>
    </font>
    <font>
      <b/>
      <sz val="9"/>
      <color rgb="FF1F5C8B"/>
      <name val="Arial"/>
      <charset val="1"/>
    </font>
    <font>
      <i/>
      <sz val="8"/>
      <color rgb="FF666666"/>
      <name val="Arial"/>
      <charset val="1"/>
    </font>
    <font>
      <sz val="9"/>
      <color rgb="FF1C2833"/>
      <name val="Arial"/>
      <charset val="134"/>
    </font>
    <font>
      <b/>
      <sz val="9"/>
      <color rgb="FF0000FF"/>
      <name val="Arial"/>
      <charset val="134"/>
    </font>
    <font>
      <i/>
      <sz val="9"/>
      <color rgb="FF717D8A"/>
      <name val="Arial"/>
      <charset val="134"/>
    </font>
    <font>
      <b/>
      <sz val="9"/>
      <color rgb="FF27AE60"/>
      <name val="Arial"/>
      <charset val="134"/>
    </font>
    <font>
      <sz val="9"/>
      <color rgb="FF00B050"/>
      <name val="Arial"/>
      <charset val="134"/>
    </font>
    <font>
      <b/>
      <sz val="10"/>
      <name val="Arial"/>
      <charset val="134"/>
    </font>
    <font>
      <i/>
      <sz val="9"/>
      <color rgb="FF808080"/>
      <name val="Arial"/>
      <charset val="134"/>
    </font>
    <font>
      <sz val="10"/>
      <color rgb="FF00800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1C2833"/>
      <name val="宋体-简"/>
      <charset val="1"/>
    </font>
    <font>
      <b/>
      <sz val="13"/>
      <color rgb="FFFFFFFF"/>
      <name val="宋体-简"/>
      <charset val="1"/>
    </font>
    <font>
      <b/>
      <sz val="9"/>
      <color rgb="FF555555"/>
      <name val="宋体-简"/>
      <charset val="134"/>
    </font>
  </fonts>
  <fills count="46">
    <fill>
      <patternFill patternType="none"/>
    </fill>
    <fill>
      <patternFill patternType="gray125"/>
    </fill>
    <fill>
      <patternFill patternType="solid">
        <fgColor rgb="FF2D2D2D"/>
        <bgColor rgb="FF333333"/>
      </patternFill>
    </fill>
    <fill>
      <patternFill patternType="solid">
        <fgColor rgb="FFFFFFCC"/>
        <bgColor rgb="FFFFF8E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EDF2F7"/>
      </patternFill>
    </fill>
    <fill>
      <patternFill patternType="solid">
        <fgColor rgb="FFE0E0E0"/>
        <bgColor rgb="FFDDDDDD"/>
      </patternFill>
    </fill>
    <fill>
      <patternFill patternType="solid">
        <fgColor rgb="FFC8E6C9"/>
        <bgColor rgb="FFDDDDDD"/>
      </patternFill>
    </fill>
    <fill>
      <patternFill patternType="solid">
        <fgColor rgb="FFFFFFFF"/>
        <bgColor rgb="FFF4F6F8"/>
      </patternFill>
    </fill>
    <fill>
      <patternFill patternType="solid">
        <fgColor rgb="FF76B900"/>
        <bgColor rgb="FF808000"/>
      </patternFill>
    </fill>
    <fill>
      <patternFill patternType="solid">
        <fgColor rgb="FFF4F6F8"/>
        <bgColor rgb="FFEDF2F7"/>
      </patternFill>
    </fill>
    <fill>
      <patternFill patternType="solid">
        <fgColor rgb="FF2C3E50"/>
        <bgColor rgb="FF333333"/>
      </patternFill>
    </fill>
    <fill>
      <patternFill patternType="solid">
        <fgColor rgb="FFFFF8E1"/>
        <bgColor rgb="FFFFFFCC"/>
      </patternFill>
    </fill>
    <fill>
      <patternFill patternType="solid">
        <fgColor rgb="FFDDEEFF"/>
        <bgColor rgb="FFDDEE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33333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1" fillId="0" borderId="0"/>
    <xf numFmtId="44" fontId="51" fillId="0" borderId="0"/>
    <xf numFmtId="9" fontId="51" fillId="0" borderId="0"/>
    <xf numFmtId="41" fontId="51" fillId="0" borderId="0"/>
    <xf numFmtId="42" fontId="51" fillId="0" borderId="0"/>
    <xf numFmtId="0" fontId="52" fillId="0" borderId="0">
      <alignment vertical="center"/>
    </xf>
    <xf numFmtId="0" fontId="53" fillId="0" borderId="0">
      <alignment vertical="center"/>
    </xf>
    <xf numFmtId="0" fontId="54" fillId="15" borderId="6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8" fillId="0" borderId="7">
      <alignment vertical="center"/>
    </xf>
    <xf numFmtId="0" fontId="59" fillId="0" borderId="7">
      <alignment vertical="center"/>
    </xf>
    <xf numFmtId="0" fontId="60" fillId="0" borderId="8">
      <alignment vertical="center"/>
    </xf>
    <xf numFmtId="0" fontId="60" fillId="0" borderId="0">
      <alignment vertical="center"/>
    </xf>
    <xf numFmtId="0" fontId="61" fillId="16" borderId="9">
      <alignment vertical="center"/>
    </xf>
    <xf numFmtId="0" fontId="62" fillId="17" borderId="10">
      <alignment vertical="center"/>
    </xf>
    <xf numFmtId="0" fontId="63" fillId="17" borderId="9">
      <alignment vertical="center"/>
    </xf>
    <xf numFmtId="0" fontId="64" fillId="18" borderId="11">
      <alignment vertical="center"/>
    </xf>
    <xf numFmtId="0" fontId="65" fillId="0" borderId="12">
      <alignment vertical="center"/>
    </xf>
    <xf numFmtId="0" fontId="66" fillId="0" borderId="13">
      <alignment vertical="center"/>
    </xf>
    <xf numFmtId="0" fontId="67" fillId="19" borderId="0">
      <alignment vertical="center"/>
    </xf>
    <xf numFmtId="0" fontId="68" fillId="20" borderId="0">
      <alignment vertical="center"/>
    </xf>
    <xf numFmtId="0" fontId="69" fillId="21" borderId="0">
      <alignment vertical="center"/>
    </xf>
    <xf numFmtId="0" fontId="70" fillId="22" borderId="0">
      <alignment vertical="center"/>
    </xf>
    <xf numFmtId="0" fontId="71" fillId="23" borderId="0">
      <alignment vertical="center"/>
    </xf>
    <xf numFmtId="0" fontId="71" fillId="24" borderId="0">
      <alignment vertical="center"/>
    </xf>
    <xf numFmtId="0" fontId="70" fillId="25" borderId="0">
      <alignment vertical="center"/>
    </xf>
    <xf numFmtId="0" fontId="70" fillId="26" borderId="0">
      <alignment vertical="center"/>
    </xf>
    <xf numFmtId="0" fontId="71" fillId="27" borderId="0">
      <alignment vertical="center"/>
    </xf>
    <xf numFmtId="0" fontId="71" fillId="28" borderId="0">
      <alignment vertical="center"/>
    </xf>
    <xf numFmtId="0" fontId="70" fillId="29" borderId="0">
      <alignment vertical="center"/>
    </xf>
    <xf numFmtId="0" fontId="70" fillId="30" borderId="0">
      <alignment vertical="center"/>
    </xf>
    <xf numFmtId="0" fontId="71" fillId="31" borderId="0">
      <alignment vertical="center"/>
    </xf>
    <xf numFmtId="0" fontId="71" fillId="32" borderId="0">
      <alignment vertical="center"/>
    </xf>
    <xf numFmtId="0" fontId="70" fillId="33" borderId="0">
      <alignment vertical="center"/>
    </xf>
    <xf numFmtId="0" fontId="70" fillId="34" borderId="0">
      <alignment vertical="center"/>
    </xf>
    <xf numFmtId="0" fontId="71" fillId="35" borderId="0">
      <alignment vertical="center"/>
    </xf>
    <xf numFmtId="0" fontId="71" fillId="36" borderId="0">
      <alignment vertical="center"/>
    </xf>
    <xf numFmtId="0" fontId="70" fillId="37" borderId="0">
      <alignment vertical="center"/>
    </xf>
    <xf numFmtId="0" fontId="70" fillId="38" borderId="0">
      <alignment vertical="center"/>
    </xf>
    <xf numFmtId="0" fontId="71" fillId="39" borderId="0">
      <alignment vertical="center"/>
    </xf>
    <xf numFmtId="0" fontId="71" fillId="40" borderId="0">
      <alignment vertical="center"/>
    </xf>
    <xf numFmtId="0" fontId="70" fillId="41" borderId="0">
      <alignment vertical="center"/>
    </xf>
    <xf numFmtId="0" fontId="70" fillId="42" borderId="0">
      <alignment vertical="center"/>
    </xf>
    <xf numFmtId="0" fontId="71" fillId="43" borderId="0">
      <alignment vertical="center"/>
    </xf>
    <xf numFmtId="0" fontId="71" fillId="44" borderId="0">
      <alignment vertical="center"/>
    </xf>
    <xf numFmtId="0" fontId="70" fillId="45" borderId="0">
      <alignment vertical="center"/>
    </xf>
  </cellStyleXfs>
  <cellXfs count="13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5" fillId="0" borderId="1" xfId="0" applyFont="1" applyBorder="1" applyAlignment="1">
      <alignment horizontal="left"/>
    </xf>
    <xf numFmtId="176" fontId="6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176" fontId="7" fillId="0" borderId="1" xfId="0" applyNumberFormat="1" applyFont="1" applyBorder="1" applyAlignment="1">
      <alignment horizontal="right"/>
    </xf>
    <xf numFmtId="177" fontId="6" fillId="0" borderId="1" xfId="0" applyNumberFormat="1" applyFont="1" applyBorder="1" applyAlignment="1">
      <alignment horizontal="right"/>
    </xf>
    <xf numFmtId="178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78" fontId="6" fillId="3" borderId="1" xfId="0" applyNumberFormat="1" applyFont="1" applyFill="1" applyBorder="1" applyAlignment="1">
      <alignment horizontal="right"/>
    </xf>
    <xf numFmtId="0" fontId="8" fillId="0" borderId="2" xfId="0" applyFont="1" applyBorder="1" applyAlignment="1">
      <alignment horizontal="center"/>
    </xf>
    <xf numFmtId="3" fontId="6" fillId="4" borderId="1" xfId="0" applyNumberFormat="1" applyFont="1" applyFill="1" applyBorder="1" applyAlignment="1">
      <alignment horizontal="right"/>
    </xf>
    <xf numFmtId="49" fontId="9" fillId="0" borderId="0" xfId="0" applyNumberFormat="1" applyFont="1" applyAlignment="1">
      <alignment vertical="top" wrapText="1"/>
    </xf>
    <xf numFmtId="3" fontId="6" fillId="3" borderId="1" xfId="0" applyNumberFormat="1" applyFont="1" applyFill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79" fontId="6" fillId="3" borderId="1" xfId="0" applyNumberFormat="1" applyFont="1" applyFill="1" applyBorder="1" applyAlignment="1">
      <alignment horizontal="right"/>
    </xf>
    <xf numFmtId="2" fontId="6" fillId="3" borderId="1" xfId="0" applyNumberFormat="1" applyFont="1" applyFill="1" applyBorder="1" applyAlignment="1">
      <alignment horizontal="right"/>
    </xf>
    <xf numFmtId="180" fontId="6" fillId="3" borderId="1" xfId="0" applyNumberFormat="1" applyFont="1" applyFill="1" applyBorder="1" applyAlignment="1">
      <alignment horizontal="right"/>
    </xf>
    <xf numFmtId="181" fontId="6" fillId="3" borderId="1" xfId="0" applyNumberFormat="1" applyFont="1" applyFill="1" applyBorder="1" applyAlignment="1">
      <alignment horizontal="right"/>
    </xf>
    <xf numFmtId="0" fontId="5" fillId="0" borderId="0" xfId="0" applyFont="1"/>
    <xf numFmtId="178" fontId="6" fillId="5" borderId="0" xfId="0" applyNumberFormat="1" applyFont="1" applyFill="1"/>
    <xf numFmtId="0" fontId="8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176" fontId="7" fillId="0" borderId="2" xfId="0" applyNumberFormat="1" applyFont="1" applyBorder="1" applyAlignment="1">
      <alignment horizontal="right"/>
    </xf>
    <xf numFmtId="176" fontId="7" fillId="6" borderId="1" xfId="0" applyNumberFormat="1" applyFont="1" applyFill="1" applyBorder="1" applyAlignment="1">
      <alignment horizontal="right"/>
    </xf>
    <xf numFmtId="178" fontId="5" fillId="0" borderId="1" xfId="0" applyNumberFormat="1" applyFont="1" applyBorder="1" applyAlignment="1">
      <alignment horizontal="right"/>
    </xf>
    <xf numFmtId="0" fontId="0" fillId="0" borderId="0" xfId="0" applyFont="1"/>
    <xf numFmtId="176" fontId="7" fillId="0" borderId="0" xfId="0" applyNumberFormat="1" applyFont="1" applyAlignment="1">
      <alignment horizontal="right"/>
    </xf>
    <xf numFmtId="179" fontId="5" fillId="0" borderId="1" xfId="0" applyNumberFormat="1" applyFont="1" applyBorder="1" applyAlignment="1">
      <alignment horizontal="right"/>
    </xf>
    <xf numFmtId="179" fontId="7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1" fillId="0" borderId="0" xfId="0" applyFont="1"/>
    <xf numFmtId="181" fontId="5" fillId="0" borderId="1" xfId="0" applyNumberFormat="1" applyFont="1" applyBorder="1" applyAlignment="1">
      <alignment horizontal="right"/>
    </xf>
    <xf numFmtId="178" fontId="7" fillId="0" borderId="1" xfId="0" applyNumberFormat="1" applyFont="1" applyBorder="1" applyAlignment="1">
      <alignment horizontal="right"/>
    </xf>
    <xf numFmtId="182" fontId="7" fillId="0" borderId="1" xfId="0" applyNumberFormat="1" applyFont="1" applyBorder="1" applyAlignment="1">
      <alignment horizontal="right"/>
    </xf>
    <xf numFmtId="0" fontId="12" fillId="0" borderId="0" xfId="0" applyFont="1"/>
    <xf numFmtId="0" fontId="13" fillId="7" borderId="0" xfId="0" applyFont="1" applyFill="1" applyAlignment="1">
      <alignment horizontal="left"/>
    </xf>
    <xf numFmtId="0" fontId="0" fillId="7" borderId="0" xfId="0" applyFill="1"/>
    <xf numFmtId="183" fontId="5" fillId="0" borderId="1" xfId="0" applyNumberFormat="1" applyFont="1" applyBorder="1" applyAlignment="1">
      <alignment horizontal="right"/>
    </xf>
    <xf numFmtId="178" fontId="7" fillId="6" borderId="1" xfId="0" applyNumberFormat="1" applyFont="1" applyFill="1" applyBorder="1" applyAlignment="1">
      <alignment horizontal="right"/>
    </xf>
    <xf numFmtId="0" fontId="7" fillId="8" borderId="1" xfId="0" applyFont="1" applyFill="1" applyBorder="1" applyAlignment="1">
      <alignment horizontal="left"/>
    </xf>
    <xf numFmtId="178" fontId="7" fillId="8" borderId="1" xfId="0" applyNumberFormat="1" applyFont="1" applyFill="1" applyBorder="1" applyAlignment="1">
      <alignment horizontal="right"/>
    </xf>
    <xf numFmtId="176" fontId="5" fillId="8" borderId="1" xfId="0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0" fontId="8" fillId="9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176" fontId="5" fillId="9" borderId="3" xfId="0" applyNumberFormat="1" applyFont="1" applyFill="1" applyBorder="1" applyAlignment="1">
      <alignment horizontal="right"/>
    </xf>
    <xf numFmtId="0" fontId="16" fillId="0" borderId="0" xfId="0" applyFont="1"/>
    <xf numFmtId="0" fontId="17" fillId="1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10" fontId="20" fillId="0" borderId="0" xfId="0" applyNumberFormat="1" applyFont="1"/>
    <xf numFmtId="0" fontId="21" fillId="0" borderId="0" xfId="0" applyFont="1"/>
    <xf numFmtId="10" fontId="22" fillId="0" borderId="0" xfId="0" applyNumberFormat="1" applyFont="1"/>
    <xf numFmtId="0" fontId="23" fillId="11" borderId="0" xfId="0" applyFont="1" applyFill="1" applyAlignment="1">
      <alignment horizontal="left" vertical="center"/>
    </xf>
    <xf numFmtId="0" fontId="24" fillId="12" borderId="4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left" vertical="center" wrapText="1"/>
    </xf>
    <xf numFmtId="177" fontId="0" fillId="0" borderId="0" xfId="0" applyNumberFormat="1"/>
    <xf numFmtId="10" fontId="22" fillId="11" borderId="4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/>
    </xf>
    <xf numFmtId="0" fontId="0" fillId="0" borderId="4" xfId="0" applyBorder="1"/>
    <xf numFmtId="177" fontId="26" fillId="11" borderId="4" xfId="0" applyNumberFormat="1" applyFont="1" applyFill="1" applyBorder="1" applyAlignment="1">
      <alignment horizontal="center" vertical="center" wrapText="1"/>
    </xf>
    <xf numFmtId="184" fontId="26" fillId="11" borderId="4" xfId="0" applyNumberFormat="1" applyFont="1" applyFill="1" applyBorder="1" applyAlignment="1">
      <alignment horizontal="center" vertical="center" wrapText="1"/>
    </xf>
    <xf numFmtId="0" fontId="27" fillId="13" borderId="0" xfId="0" applyFont="1" applyFill="1" applyAlignment="1">
      <alignment horizontal="left" vertical="center" wrapText="1"/>
    </xf>
    <xf numFmtId="0" fontId="28" fillId="14" borderId="0" xfId="0" applyFont="1" applyFill="1"/>
    <xf numFmtId="0" fontId="29" fillId="0" borderId="0" xfId="0" applyFont="1"/>
    <xf numFmtId="0" fontId="28" fillId="0" borderId="0" xfId="0" applyFont="1"/>
    <xf numFmtId="176" fontId="30" fillId="0" borderId="0" xfId="0" applyNumberFormat="1" applyFont="1"/>
    <xf numFmtId="176" fontId="0" fillId="0" borderId="0" xfId="0" applyNumberFormat="1"/>
    <xf numFmtId="0" fontId="15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2" fillId="0" borderId="0" xfId="0" applyFont="1" applyAlignment="1">
      <alignment horizontal="center" wrapText="1"/>
    </xf>
    <xf numFmtId="0" fontId="0" fillId="0" borderId="0" xfId="0" applyAlignment="1">
      <alignment wrapText="1"/>
    </xf>
    <xf numFmtId="6" fontId="0" fillId="0" borderId="0" xfId="0" applyNumberFormat="1" applyFont="1" applyAlignment="1">
      <alignment wrapText="1"/>
    </xf>
    <xf numFmtId="6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34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2" borderId="0" xfId="0" applyFont="1" applyFill="1" applyAlignment="1">
      <alignment horizontal="left"/>
    </xf>
    <xf numFmtId="0" fontId="15" fillId="0" borderId="1" xfId="0" applyFont="1" applyBorder="1" applyAlignment="1">
      <alignment horizontal="left"/>
    </xf>
    <xf numFmtId="176" fontId="38" fillId="0" borderId="1" xfId="0" applyNumberFormat="1" applyFont="1" applyBorder="1" applyAlignment="1">
      <alignment horizontal="right"/>
    </xf>
    <xf numFmtId="0" fontId="39" fillId="0" borderId="1" xfId="0" applyFont="1" applyBorder="1" applyAlignment="1">
      <alignment horizontal="left"/>
    </xf>
    <xf numFmtId="176" fontId="39" fillId="0" borderId="1" xfId="0" applyNumberFormat="1" applyFont="1" applyBorder="1" applyAlignment="1">
      <alignment horizontal="right"/>
    </xf>
    <xf numFmtId="177" fontId="38" fillId="0" borderId="1" xfId="0" applyNumberFormat="1" applyFont="1" applyBorder="1" applyAlignment="1">
      <alignment horizontal="right"/>
    </xf>
    <xf numFmtId="178" fontId="38" fillId="0" borderId="1" xfId="0" applyNumberFormat="1" applyFont="1" applyBorder="1" applyAlignment="1">
      <alignment horizontal="right"/>
    </xf>
    <xf numFmtId="3" fontId="38" fillId="0" borderId="1" xfId="0" applyNumberFormat="1" applyFont="1" applyBorder="1" applyAlignment="1">
      <alignment horizontal="right"/>
    </xf>
    <xf numFmtId="178" fontId="38" fillId="3" borderId="1" xfId="0" applyNumberFormat="1" applyFont="1" applyFill="1" applyBorder="1" applyAlignment="1">
      <alignment horizontal="right"/>
    </xf>
    <xf numFmtId="0" fontId="40" fillId="0" borderId="2" xfId="0" applyFont="1" applyBorder="1" applyAlignment="1">
      <alignment horizontal="center"/>
    </xf>
    <xf numFmtId="3" fontId="38" fillId="3" borderId="1" xfId="0" applyNumberFormat="1" applyFont="1" applyFill="1" applyBorder="1" applyAlignment="1">
      <alignment horizontal="right"/>
    </xf>
    <xf numFmtId="3" fontId="39" fillId="0" borderId="1" xfId="0" applyNumberFormat="1" applyFont="1" applyBorder="1" applyAlignment="1">
      <alignment horizontal="right"/>
    </xf>
    <xf numFmtId="179" fontId="38" fillId="3" borderId="1" xfId="0" applyNumberFormat="1" applyFont="1" applyFill="1" applyBorder="1" applyAlignment="1">
      <alignment horizontal="right"/>
    </xf>
    <xf numFmtId="2" fontId="38" fillId="3" borderId="1" xfId="0" applyNumberFormat="1" applyFont="1" applyFill="1" applyBorder="1" applyAlignment="1">
      <alignment horizontal="right"/>
    </xf>
    <xf numFmtId="180" fontId="38" fillId="3" borderId="1" xfId="0" applyNumberFormat="1" applyFont="1" applyFill="1" applyBorder="1" applyAlignment="1">
      <alignment horizontal="right"/>
    </xf>
    <xf numFmtId="181" fontId="38" fillId="3" borderId="1" xfId="0" applyNumberFormat="1" applyFont="1" applyFill="1" applyBorder="1" applyAlignment="1">
      <alignment horizontal="right"/>
    </xf>
    <xf numFmtId="0" fontId="15" fillId="0" borderId="0" xfId="0" applyFont="1"/>
    <xf numFmtId="178" fontId="38" fillId="5" borderId="0" xfId="0" applyNumberFormat="1" applyFont="1" applyFill="1"/>
    <xf numFmtId="0" fontId="40" fillId="0" borderId="1" xfId="0" applyFont="1" applyBorder="1" applyAlignment="1">
      <alignment horizontal="center"/>
    </xf>
    <xf numFmtId="176" fontId="15" fillId="0" borderId="1" xfId="0" applyNumberFormat="1" applyFont="1" applyBorder="1" applyAlignment="1">
      <alignment horizontal="right"/>
    </xf>
    <xf numFmtId="0" fontId="39" fillId="0" borderId="2" xfId="0" applyFont="1" applyBorder="1" applyAlignment="1">
      <alignment horizontal="left"/>
    </xf>
    <xf numFmtId="176" fontId="39" fillId="0" borderId="2" xfId="0" applyNumberFormat="1" applyFont="1" applyBorder="1" applyAlignment="1">
      <alignment horizontal="right"/>
    </xf>
    <xf numFmtId="176" fontId="39" fillId="6" borderId="1" xfId="0" applyNumberFormat="1" applyFont="1" applyFill="1" applyBorder="1" applyAlignment="1">
      <alignment horizontal="right"/>
    </xf>
    <xf numFmtId="178" fontId="15" fillId="0" borderId="1" xfId="0" applyNumberFormat="1" applyFont="1" applyBorder="1" applyAlignment="1">
      <alignment horizontal="right"/>
    </xf>
    <xf numFmtId="176" fontId="39" fillId="0" borderId="0" xfId="0" applyNumberFormat="1" applyFont="1" applyAlignment="1">
      <alignment horizontal="right"/>
    </xf>
    <xf numFmtId="179" fontId="15" fillId="0" borderId="1" xfId="0" applyNumberFormat="1" applyFont="1" applyBorder="1" applyAlignment="1">
      <alignment horizontal="right"/>
    </xf>
    <xf numFmtId="179" fontId="39" fillId="0" borderId="1" xfId="0" applyNumberFormat="1" applyFont="1" applyBorder="1" applyAlignment="1">
      <alignment horizontal="right"/>
    </xf>
    <xf numFmtId="181" fontId="15" fillId="0" borderId="1" xfId="0" applyNumberFormat="1" applyFont="1" applyBorder="1" applyAlignment="1">
      <alignment horizontal="right"/>
    </xf>
    <xf numFmtId="178" fontId="39" fillId="0" borderId="1" xfId="0" applyNumberFormat="1" applyFont="1" applyBorder="1" applyAlignment="1">
      <alignment horizontal="right"/>
    </xf>
    <xf numFmtId="182" fontId="39" fillId="0" borderId="1" xfId="0" applyNumberFormat="1" applyFont="1" applyBorder="1" applyAlignment="1">
      <alignment horizontal="right"/>
    </xf>
    <xf numFmtId="0" fontId="41" fillId="0" borderId="0" xfId="0" applyFont="1"/>
    <xf numFmtId="183" fontId="15" fillId="0" borderId="1" xfId="0" applyNumberFormat="1" applyFont="1" applyBorder="1" applyAlignment="1">
      <alignment horizontal="right"/>
    </xf>
    <xf numFmtId="178" fontId="39" fillId="6" borderId="1" xfId="0" applyNumberFormat="1" applyFont="1" applyFill="1" applyBorder="1" applyAlignment="1">
      <alignment horizontal="right"/>
    </xf>
    <xf numFmtId="0" fontId="39" fillId="8" borderId="1" xfId="0" applyFont="1" applyFill="1" applyBorder="1" applyAlignment="1">
      <alignment horizontal="left"/>
    </xf>
    <xf numFmtId="178" fontId="39" fillId="8" borderId="1" xfId="0" applyNumberFormat="1" applyFont="1" applyFill="1" applyBorder="1" applyAlignment="1">
      <alignment horizontal="right"/>
    </xf>
    <xf numFmtId="176" fontId="15" fillId="8" borderId="1" xfId="0" applyNumberFormat="1" applyFont="1" applyFill="1" applyBorder="1" applyAlignment="1">
      <alignment horizontal="right"/>
    </xf>
    <xf numFmtId="0" fontId="41" fillId="0" borderId="0" xfId="0" applyFont="1" applyAlignment="1">
      <alignment horizontal="left"/>
    </xf>
    <xf numFmtId="0" fontId="40" fillId="9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176" fontId="15" fillId="9" borderId="3" xfId="0" applyNumberFormat="1" applyFont="1" applyFill="1" applyBorder="1" applyAlignment="1">
      <alignment horizontal="right"/>
    </xf>
    <xf numFmtId="0" fontId="42" fillId="0" borderId="0" xfId="0" applyFont="1"/>
    <xf numFmtId="0" fontId="43" fillId="0" borderId="0" xfId="0" applyFont="1"/>
    <xf numFmtId="10" fontId="44" fillId="0" borderId="0" xfId="0" applyNumberFormat="1" applyFont="1"/>
    <xf numFmtId="0" fontId="45" fillId="0" borderId="0" xfId="0" applyFont="1"/>
    <xf numFmtId="10" fontId="46" fillId="0" borderId="0" xfId="0" applyNumberFormat="1" applyFont="1"/>
    <xf numFmtId="10" fontId="46" fillId="11" borderId="4" xfId="0" applyNumberFormat="1" applyFont="1" applyFill="1" applyBorder="1" applyAlignment="1">
      <alignment horizontal="center" vertical="center" wrapText="1"/>
    </xf>
    <xf numFmtId="177" fontId="47" fillId="11" borderId="4" xfId="0" applyNumberFormat="1" applyFont="1" applyFill="1" applyBorder="1" applyAlignment="1">
      <alignment horizontal="center" vertical="center" wrapText="1"/>
    </xf>
    <xf numFmtId="184" fontId="47" fillId="11" borderId="4" xfId="0" applyNumberFormat="1" applyFont="1" applyFill="1" applyBorder="1" applyAlignment="1">
      <alignment horizontal="center" vertical="center" wrapText="1"/>
    </xf>
    <xf numFmtId="0" fontId="48" fillId="14" borderId="0" xfId="0" applyFont="1" applyFill="1"/>
    <xf numFmtId="0" fontId="49" fillId="0" borderId="0" xfId="0" applyFont="1"/>
    <xf numFmtId="0" fontId="48" fillId="0" borderId="0" xfId="0" applyFont="1"/>
    <xf numFmtId="176" fontId="5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88888"/>
      <rgbColor rgb="009999FF"/>
      <rgbColor rgb="00555555"/>
      <rgbColor rgb="00FFFFCC"/>
      <rgbColor rgb="00E8F5E9"/>
      <rgbColor rgb="00660066"/>
      <rgbColor rgb="00FF8080"/>
      <rgbColor rgb="001F5C8B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DF2F7"/>
      <rgbColor rgb="00E8F5D0"/>
      <rgbColor rgb="00FFF8E1"/>
      <rgbColor rgb="00C8E6C9"/>
      <rgbColor rgb="00F4F6F8"/>
      <rgbColor rgb="00CC99FF"/>
      <rgbColor rgb="00E0E0E0"/>
      <rgbColor rgb="004A90D9"/>
      <rgbColor rgb="0033CCCC"/>
      <rgbColor rgb="0076B900"/>
      <rgbColor rgb="00FFCC00"/>
      <rgbColor rgb="00FF9900"/>
      <rgbColor rgb="00FF6600"/>
      <rgbColor rgb="00666666"/>
      <rgbColor rgb="00999999"/>
      <rgbColor rgb="001C2833"/>
      <rgbColor rgb="0027AE60"/>
      <rgbColor rgb="001A1A1A"/>
      <rgbColor rgb="002D2D2D"/>
      <rgbColor rgb="00C0392B"/>
      <rgbColor rgb="00993366"/>
      <rgbColor rgb="002C3E50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"/>
  <sheetViews>
    <sheetView zoomScale="130" zoomScaleNormal="130" workbookViewId="0">
      <pane ySplit="3" topLeftCell="A97" activePane="bottomLeft" state="frozen"/>
      <selection/>
      <selection pane="bottomLeft" activeCell="E111" sqref="E111"/>
    </sheetView>
  </sheetViews>
  <sheetFormatPr defaultColWidth="8.6328125" defaultRowHeight="16.8" outlineLevelCol="7"/>
  <cols>
    <col min="1" max="1" width="38" customWidth="1"/>
    <col min="2" max="4" width="16" customWidth="1"/>
    <col min="5" max="5" width="16.828125" customWidth="1"/>
    <col min="6" max="8" width="16" customWidth="1"/>
  </cols>
  <sheetData>
    <row r="1" ht="20.25" customHeight="1" spans="1:8">
      <c r="A1" s="85" t="s">
        <v>0</v>
      </c>
    </row>
    <row r="2" ht="16.5" customHeight="1" spans="1:8">
      <c r="A2" s="2" t="s">
        <v>1</v>
      </c>
    </row>
    <row r="3" ht="16.5" customHeight="1" spans="1:8">
      <c r="A3" s="86"/>
    </row>
    <row r="4" ht="16.5" customHeight="1" spans="1:8">
      <c r="A4" s="87" t="s">
        <v>2</v>
      </c>
      <c r="B4" s="5"/>
      <c r="C4" s="5"/>
      <c r="D4" s="5"/>
      <c r="E4" s="5"/>
      <c r="F4" s="5"/>
      <c r="G4" s="5"/>
      <c r="H4" s="5"/>
    </row>
    <row r="5" ht="16.5" customHeight="1" spans="1:8">
      <c r="A5" s="88" t="s">
        <v>3</v>
      </c>
      <c r="C5" s="89">
        <v>400000</v>
      </c>
    </row>
    <row r="6" ht="16.5" customHeight="1" spans="1:8">
      <c r="A6" s="88" t="s">
        <v>4</v>
      </c>
      <c r="C6" s="89">
        <v>200000</v>
      </c>
    </row>
    <row r="7" ht="16.5" customHeight="1" spans="1:8">
      <c r="A7" s="90" t="s">
        <v>5</v>
      </c>
      <c r="C7" s="91">
        <f>C5+C6</f>
        <v>600000</v>
      </c>
    </row>
    <row r="8" ht="16.5" customHeight="1" spans="1:8">
      <c r="A8" s="88" t="s">
        <v>6</v>
      </c>
      <c r="C8" s="92">
        <v>60</v>
      </c>
    </row>
    <row r="9" ht="16.5" customHeight="1" spans="1:8">
      <c r="A9" s="88" t="s">
        <v>7</v>
      </c>
      <c r="C9" s="92">
        <v>3750</v>
      </c>
    </row>
    <row r="10" ht="16.5" customHeight="1" spans="1:8">
      <c r="A10" s="88" t="s">
        <v>8</v>
      </c>
      <c r="C10" s="92">
        <v>2500</v>
      </c>
    </row>
    <row r="11" ht="16.5" customHeight="1" spans="1:8">
      <c r="A11" s="88" t="s">
        <v>9</v>
      </c>
      <c r="C11" s="93">
        <v>0.03</v>
      </c>
    </row>
    <row r="12" ht="16.5" customHeight="1" spans="1:8">
      <c r="A12" s="88" t="s">
        <v>10</v>
      </c>
      <c r="C12" s="93">
        <v>0.01</v>
      </c>
    </row>
    <row r="13" spans="1:8">
      <c r="A13" s="88" t="s">
        <v>11</v>
      </c>
      <c r="C13" s="93">
        <v>0.21</v>
      </c>
    </row>
    <row r="14" ht="16.5" customHeight="1" spans="1:8">
      <c r="A14" s="88" t="s">
        <v>12</v>
      </c>
      <c r="C14" s="93">
        <v>0.0575</v>
      </c>
    </row>
    <row r="15" ht="16.5" customHeight="1" spans="1:8">
      <c r="A15" s="88" t="s">
        <v>13</v>
      </c>
      <c r="C15" s="93">
        <v>0.01</v>
      </c>
    </row>
    <row r="16" ht="16.5" customHeight="1" spans="1:8">
      <c r="A16" s="88" t="s">
        <v>14</v>
      </c>
      <c r="C16" s="94">
        <v>8760</v>
      </c>
    </row>
    <row r="17" ht="16.5" customHeight="1" spans="1:8">
      <c r="A17" s="88" t="s">
        <v>15</v>
      </c>
      <c r="C17" s="95">
        <v>0.1</v>
      </c>
    </row>
    <row r="19" ht="16.5" customHeight="1" spans="1:8">
      <c r="A19" s="87" t="s">
        <v>16</v>
      </c>
      <c r="B19" s="5"/>
      <c r="C19" s="5"/>
      <c r="D19" s="5"/>
      <c r="E19" s="5"/>
      <c r="F19" s="5"/>
      <c r="G19" s="5"/>
      <c r="H19" s="5"/>
    </row>
    <row r="20" ht="17.25" customHeight="1" spans="1:8">
      <c r="C20" s="96" t="s">
        <v>17</v>
      </c>
    </row>
    <row r="21" ht="19" customHeight="1" spans="1:8">
      <c r="A21" s="88" t="s">
        <v>18</v>
      </c>
      <c r="C21" s="15">
        <v>88200</v>
      </c>
      <c r="D21" s="16"/>
    </row>
    <row r="22" ht="16.5" customHeight="1" spans="1:8">
      <c r="A22" s="88" t="s">
        <v>19</v>
      </c>
      <c r="C22" s="97">
        <v>35</v>
      </c>
    </row>
    <row r="23" ht="16.5" customHeight="1" spans="1:8">
      <c r="A23" s="88" t="s">
        <v>20</v>
      </c>
      <c r="C23" s="97">
        <v>8</v>
      </c>
    </row>
    <row r="24" ht="16.5" customHeight="1" spans="1:8">
      <c r="A24" s="90" t="s">
        <v>21</v>
      </c>
      <c r="C24" s="98">
        <f>C22*C23</f>
        <v>280</v>
      </c>
    </row>
    <row r="25" ht="16.5" customHeight="1" spans="1:8">
      <c r="A25" s="88" t="s">
        <v>22</v>
      </c>
      <c r="C25" s="99">
        <v>6.8</v>
      </c>
    </row>
    <row r="26" ht="16.5" customHeight="1" spans="1:8">
      <c r="A26" s="88" t="s">
        <v>23</v>
      </c>
      <c r="C26" s="100">
        <v>1.3</v>
      </c>
    </row>
    <row r="27" ht="16.5" customHeight="1" spans="1:8">
      <c r="A27" s="88" t="s">
        <v>24</v>
      </c>
      <c r="C27" s="101">
        <v>0.63</v>
      </c>
    </row>
    <row r="28" ht="16.5" customHeight="1" spans="1:8">
      <c r="A28" s="88" t="s">
        <v>25</v>
      </c>
      <c r="C28" s="95">
        <v>1</v>
      </c>
    </row>
    <row r="29" ht="16.5" customHeight="1" spans="1:8">
      <c r="A29" s="88" t="s">
        <v>26</v>
      </c>
      <c r="C29" s="102">
        <v>5</v>
      </c>
    </row>
    <row r="30" ht="16.5" customHeight="1" spans="1:8">
      <c r="A30" s="88" t="s">
        <v>27</v>
      </c>
      <c r="C30" s="95">
        <v>0.1</v>
      </c>
    </row>
    <row r="31" ht="14" customHeight="1" spans="1:8">
      <c r="A31" s="103" t="s">
        <v>28</v>
      </c>
      <c r="C31" s="104">
        <v>0.1</v>
      </c>
      <c r="D31" s="16"/>
    </row>
    <row r="32" ht="16.5" customHeight="1" spans="1:8">
      <c r="A32" s="87" t="s">
        <v>29</v>
      </c>
      <c r="B32" s="5"/>
      <c r="C32" s="5"/>
      <c r="D32" s="5"/>
      <c r="E32" s="5"/>
      <c r="F32" s="5"/>
      <c r="G32" s="5"/>
      <c r="H32" s="5"/>
    </row>
    <row r="33" ht="16.5" customHeight="1" spans="1:8">
      <c r="C33" s="105" t="s">
        <v>17</v>
      </c>
    </row>
    <row r="34" ht="16.5" customHeight="1" spans="1:8">
      <c r="A34" s="88" t="s">
        <v>30</v>
      </c>
      <c r="C34" s="106">
        <f>C22*C21</f>
        <v>3087000</v>
      </c>
    </row>
    <row r="35" ht="16.5" customHeight="1" spans="1:8">
      <c r="A35" s="88" t="s">
        <v>5</v>
      </c>
      <c r="C35" s="106">
        <f>C7</f>
        <v>600000</v>
      </c>
    </row>
    <row r="36" ht="21" customHeight="1" spans="1:8">
      <c r="A36" s="107" t="s">
        <v>31</v>
      </c>
      <c r="C36" s="108">
        <f>C34+C35</f>
        <v>3687000</v>
      </c>
    </row>
    <row r="38" ht="16.5" customHeight="1" spans="1:8">
      <c r="A38" s="87" t="s">
        <v>32</v>
      </c>
      <c r="B38" s="5"/>
      <c r="C38" s="5"/>
      <c r="D38" s="5"/>
      <c r="E38" s="5"/>
      <c r="F38" s="5"/>
      <c r="G38" s="5"/>
      <c r="H38" s="5"/>
    </row>
    <row r="39" ht="16.5" customHeight="1" spans="1:8">
      <c r="C39" s="105" t="s">
        <v>17</v>
      </c>
    </row>
    <row r="40" ht="16.5" customHeight="1" spans="1:8">
      <c r="A40" s="90" t="s">
        <v>33</v>
      </c>
      <c r="C40" s="91">
        <f>C24*C27*C16*C28</f>
        <v>1545264</v>
      </c>
    </row>
    <row r="42" ht="16.5" customHeight="1" spans="1:8">
      <c r="A42" s="88" t="s">
        <v>34</v>
      </c>
      <c r="C42" s="106">
        <f>C22*C25*C26*C8*12</f>
        <v>222768</v>
      </c>
    </row>
    <row r="43" ht="16.5" customHeight="1" spans="1:8">
      <c r="A43" s="88" t="s">
        <v>35</v>
      </c>
      <c r="C43" s="106">
        <f>C9*12</f>
        <v>45000</v>
      </c>
    </row>
    <row r="44" ht="16.5" customHeight="1" spans="1:8">
      <c r="A44" s="88" t="s">
        <v>36</v>
      </c>
      <c r="C44" s="106">
        <f>C10*12</f>
        <v>30000</v>
      </c>
    </row>
    <row r="45" ht="16.5" customHeight="1" spans="1:8">
      <c r="A45" s="88" t="s">
        <v>37</v>
      </c>
      <c r="C45" s="106">
        <f>C40*C11</f>
        <v>46357.92</v>
      </c>
    </row>
    <row r="46" ht="16.5" customHeight="1" spans="1:8">
      <c r="A46" s="88" t="s">
        <v>38</v>
      </c>
      <c r="C46" s="106">
        <f>C36*C12</f>
        <v>36870</v>
      </c>
    </row>
    <row r="47" ht="16.5" customHeight="1" spans="1:8">
      <c r="A47" s="88" t="s">
        <v>39</v>
      </c>
      <c r="C47" s="106">
        <f>C40*C15</f>
        <v>15452.64</v>
      </c>
    </row>
    <row r="48" ht="16.5" customHeight="1" spans="1:8">
      <c r="A48" s="107" t="s">
        <v>40</v>
      </c>
      <c r="C48" s="108">
        <f>SUM(C42:C47)</f>
        <v>396448.56</v>
      </c>
    </row>
    <row r="50" ht="16.5" customHeight="1" spans="1:8">
      <c r="A50" s="90" t="s">
        <v>41</v>
      </c>
      <c r="C50" s="109">
        <f>C40-C48</f>
        <v>1148815.44</v>
      </c>
    </row>
    <row r="51" ht="16.5" customHeight="1" spans="1:8">
      <c r="A51" s="88" t="s">
        <v>42</v>
      </c>
      <c r="C51" s="110">
        <f>C48/C40</f>
        <v>0.256557170813531</v>
      </c>
    </row>
    <row r="52" ht="16.5" customHeight="1" spans="1:8">
      <c r="A52" s="88" t="s">
        <v>43</v>
      </c>
      <c r="C52" s="110">
        <f>C50/C40</f>
        <v>0.743442829186469</v>
      </c>
    </row>
    <row r="54" ht="16.5" customHeight="1" spans="1:8">
      <c r="A54" s="88" t="s">
        <v>44</v>
      </c>
      <c r="C54" s="106">
        <f>C34*(1-C30)/C29</f>
        <v>555660</v>
      </c>
    </row>
    <row r="55" ht="16.5" customHeight="1" spans="1:8">
      <c r="A55" s="90" t="s">
        <v>45</v>
      </c>
      <c r="C55" s="91">
        <f>C50-C54</f>
        <v>593155.44</v>
      </c>
    </row>
    <row r="56" ht="16.5" customHeight="1" spans="1:8">
      <c r="A56" s="31" t="s">
        <v>46</v>
      </c>
      <c r="C56" s="91">
        <f>C55*D102</f>
        <v>151506.728262</v>
      </c>
    </row>
    <row r="57" ht="16.5" customHeight="1" spans="1:8">
      <c r="A57" t="s">
        <v>47</v>
      </c>
      <c r="C57" s="111">
        <f>C50-C56</f>
        <v>997308.711738</v>
      </c>
    </row>
    <row r="58" ht="16.5" customHeight="1" spans="1:8">
      <c r="A58" s="87" t="s">
        <v>48</v>
      </c>
      <c r="B58" s="5"/>
      <c r="C58" s="5"/>
      <c r="D58" s="5"/>
      <c r="E58" s="5"/>
      <c r="F58" s="5"/>
      <c r="G58" s="5"/>
      <c r="H58" s="5"/>
    </row>
    <row r="59" ht="16.5" customHeight="1" spans="1:8">
      <c r="C59" s="105" t="s">
        <v>17</v>
      </c>
    </row>
    <row r="60" ht="16.5" customHeight="1" spans="1:8">
      <c r="A60" s="88" t="s">
        <v>49</v>
      </c>
      <c r="C60" s="106">
        <f>C40/C24</f>
        <v>5518.8</v>
      </c>
    </row>
    <row r="61" ht="16.5" customHeight="1" spans="1:8">
      <c r="A61" s="88" t="s">
        <v>50</v>
      </c>
      <c r="C61" s="106">
        <f>C48/C24</f>
        <v>1415.88771428571</v>
      </c>
    </row>
    <row r="62" ht="16.5" customHeight="1" spans="1:8">
      <c r="A62" s="90" t="s">
        <v>51</v>
      </c>
      <c r="C62" s="91">
        <f>C57/C24</f>
        <v>3561.81682763571</v>
      </c>
    </row>
    <row r="63" ht="16.5" customHeight="1" spans="1:8">
      <c r="A63" s="88" t="s">
        <v>52</v>
      </c>
      <c r="C63" s="106">
        <f>C36/C24</f>
        <v>13167.8571428571</v>
      </c>
    </row>
    <row r="65" ht="16.5" customHeight="1" spans="1:8">
      <c r="A65" s="87" t="s">
        <v>53</v>
      </c>
      <c r="B65" s="5"/>
      <c r="C65" s="5"/>
      <c r="D65" s="5"/>
      <c r="E65" s="5"/>
      <c r="F65" s="5"/>
      <c r="G65" s="5"/>
      <c r="H65" s="5"/>
    </row>
    <row r="66" ht="16.5" customHeight="1" spans="1:8">
      <c r="C66" s="105" t="s">
        <v>17</v>
      </c>
    </row>
    <row r="67" ht="16.5" customHeight="1" spans="1:8">
      <c r="A67" s="88" t="s">
        <v>54</v>
      </c>
      <c r="C67" s="112">
        <f>C22*C25</f>
        <v>238</v>
      </c>
    </row>
    <row r="68" ht="16.5" customHeight="1" spans="1:8">
      <c r="A68" s="90" t="s">
        <v>55</v>
      </c>
      <c r="C68" s="113">
        <f>C67*C26</f>
        <v>309.4</v>
      </c>
    </row>
    <row r="69" ht="16.5" customHeight="1" spans="1:8">
      <c r="A69" s="88" t="s">
        <v>56</v>
      </c>
      <c r="C69" s="106">
        <f>C40/C68</f>
        <v>4994.38914027149</v>
      </c>
    </row>
    <row r="70" ht="16.5" customHeight="1" spans="1:8">
      <c r="A70" s="88" t="s">
        <v>57</v>
      </c>
      <c r="C70" s="106">
        <f>C57/C68</f>
        <v>3223.3636449192</v>
      </c>
    </row>
    <row r="72" ht="16.5" customHeight="1" spans="1:8">
      <c r="A72" s="87" t="s">
        <v>58</v>
      </c>
      <c r="B72" s="5"/>
      <c r="C72" s="5"/>
      <c r="D72" s="5"/>
      <c r="E72" s="5"/>
      <c r="F72" s="5"/>
      <c r="G72" s="5"/>
      <c r="H72" s="5"/>
    </row>
    <row r="73" ht="16.5" customHeight="1" spans="1:8">
      <c r="C73" s="35" t="s">
        <v>59</v>
      </c>
      <c r="E73" s="36" t="s">
        <v>60</v>
      </c>
    </row>
    <row r="74" ht="16.5" customHeight="1" spans="1:8">
      <c r="A74" s="88" t="s">
        <v>61</v>
      </c>
      <c r="C74" s="114">
        <f>C29</f>
        <v>5</v>
      </c>
      <c r="E74" s="37">
        <f>C29</f>
        <v>5</v>
      </c>
    </row>
    <row r="75" ht="16.5" customHeight="1" spans="1:8">
      <c r="A75" s="90" t="s">
        <v>62</v>
      </c>
      <c r="C75" s="115">
        <f>C57/C36</f>
        <v>0.270493276847844</v>
      </c>
      <c r="E75" s="38">
        <f>AVERAGE(C105:G105)/C36</f>
        <v>0.270493276847844</v>
      </c>
    </row>
    <row r="76" ht="16.5" customHeight="1" spans="1:8">
      <c r="A76" s="90" t="s">
        <v>63</v>
      </c>
      <c r="C76" s="116">
        <f>C36/C57</f>
        <v>3.69694955694782</v>
      </c>
      <c r="D76" s="117"/>
      <c r="E76" s="39">
        <f>B111</f>
        <v>3.51926008166887</v>
      </c>
    </row>
    <row r="78" ht="16.5" customHeight="1" spans="1:8">
      <c r="A78" s="41" t="s">
        <v>64</v>
      </c>
      <c r="B78" s="42"/>
      <c r="C78" s="42"/>
      <c r="D78" s="42"/>
      <c r="E78" s="42"/>
    </row>
    <row r="79" ht="16.5" customHeight="1" spans="1:8">
      <c r="A79" s="88" t="s">
        <v>65</v>
      </c>
      <c r="C79" s="115">
        <f>(C57*C29-C36)/C36</f>
        <v>0.352466384239219</v>
      </c>
      <c r="E79" s="38">
        <f>(SUM(C105:G105)-C36)/C36</f>
        <v>0.352466384239219</v>
      </c>
    </row>
    <row r="80" ht="16.5" customHeight="1" spans="1:8">
      <c r="A80" s="88" t="s">
        <v>66</v>
      </c>
      <c r="C80" s="118">
        <f>C57*C29/C36</f>
        <v>1.35246638423922</v>
      </c>
      <c r="E80" s="43">
        <f>SUM(C105:G105)/C36</f>
        <v>1.35246638423922</v>
      </c>
    </row>
    <row r="81" ht="16.5" customHeight="1" spans="1:8">
      <c r="A81" s="90" t="s">
        <v>67</v>
      </c>
      <c r="C81" s="119">
        <f>IRR(C95:H95)</f>
        <v>0.109886815703282</v>
      </c>
      <c r="E81" s="44">
        <f>B108</f>
        <v>0.117064389014377</v>
      </c>
    </row>
    <row r="82" ht="16.5" customHeight="1" spans="1:8">
      <c r="A82" s="88" t="s">
        <v>68</v>
      </c>
      <c r="C82" s="106">
        <f>C95+NPV($C$17,D95:H95)</f>
        <v>93584.6694721933</v>
      </c>
      <c r="E82" s="26">
        <f>B105+NPV($C$17,C105:G105)</f>
        <v>152663.125293043</v>
      </c>
    </row>
    <row r="84" ht="16.5" customHeight="1" spans="1:8">
      <c r="A84" s="41" t="s">
        <v>69</v>
      </c>
      <c r="B84" s="42"/>
      <c r="C84" s="42"/>
      <c r="D84" s="42"/>
      <c r="E84" s="42"/>
    </row>
    <row r="85" ht="16.5" customHeight="1" spans="1:8">
      <c r="A85" s="88" t="s">
        <v>70</v>
      </c>
      <c r="C85" s="106">
        <f>C34*C30</f>
        <v>308700</v>
      </c>
      <c r="E85" s="26">
        <f>C34*C30</f>
        <v>308700</v>
      </c>
    </row>
    <row r="86" ht="16.5" customHeight="1" spans="1:8">
      <c r="A86" s="88" t="s">
        <v>65</v>
      </c>
      <c r="C86" s="110">
        <f>(C57*C29+C85-C36)/C36</f>
        <v>0.436192991236778</v>
      </c>
      <c r="E86" s="30">
        <f>(SUM(C105:G105)+E85-C36)/C36</f>
        <v>0.436192991236778</v>
      </c>
    </row>
    <row r="87" ht="16.5" customHeight="1" spans="1:8">
      <c r="A87" s="88" t="s">
        <v>66</v>
      </c>
      <c r="C87" s="118">
        <f>(C57*C29+C85)/C36</f>
        <v>1.43619299123678</v>
      </c>
      <c r="E87" s="43">
        <f>(SUM(C105:G105)+E85)/C36</f>
        <v>1.43619299123678</v>
      </c>
    </row>
    <row r="88" ht="16.5" customHeight="1" spans="1:8">
      <c r="A88" s="120" t="s">
        <v>67</v>
      </c>
      <c r="C88" s="121">
        <f>IRR(C96:H96)</f>
        <v>0.128746800443652</v>
      </c>
      <c r="E88" s="46">
        <f>B109</f>
        <v>0.136594612450286</v>
      </c>
      <c r="G88" s="31" t="s">
        <v>71</v>
      </c>
    </row>
    <row r="89" ht="16.5" customHeight="1" spans="1:8">
      <c r="A89" s="88" t="s">
        <v>68</v>
      </c>
      <c r="C89" s="122">
        <f>C96+NPV($C$17,D96:H96)</f>
        <v>285263.081900554</v>
      </c>
      <c r="E89" s="47">
        <f>B106+NPV($C$17,C106:G106)</f>
        <v>344341.537721404</v>
      </c>
      <c r="G89" s="47">
        <f>E89-C89</f>
        <v>59078.4558208496</v>
      </c>
    </row>
    <row r="91" ht="16.5" customHeight="1" spans="1:8">
      <c r="A91" s="87" t="s">
        <v>72</v>
      </c>
      <c r="B91" s="5"/>
      <c r="C91" s="5"/>
      <c r="D91" s="5"/>
      <c r="E91" s="5"/>
      <c r="F91" s="5"/>
      <c r="G91" s="5"/>
      <c r="H91" s="5"/>
    </row>
    <row r="92" ht="16.5" customHeight="1" spans="1:8">
      <c r="A92" s="123" t="s">
        <v>73</v>
      </c>
    </row>
    <row r="93" ht="16.5" customHeight="1" spans="1:8">
      <c r="C93" s="105" t="s">
        <v>74</v>
      </c>
      <c r="D93" s="105" t="s">
        <v>75</v>
      </c>
      <c r="E93" s="105" t="s">
        <v>76</v>
      </c>
      <c r="F93" s="105" t="s">
        <v>77</v>
      </c>
      <c r="G93" s="105" t="s">
        <v>78</v>
      </c>
      <c r="H93" s="124" t="s">
        <v>79</v>
      </c>
    </row>
    <row r="94" ht="16.5" customHeight="1" spans="1:8">
      <c r="A94" s="125"/>
    </row>
    <row r="95" ht="16.5" customHeight="1" spans="1:8">
      <c r="A95" s="88" t="s">
        <v>80</v>
      </c>
      <c r="C95" s="106">
        <f>-C36</f>
        <v>-3687000</v>
      </c>
      <c r="D95" s="106">
        <f>$C$57</f>
        <v>997308.711738</v>
      </c>
      <c r="E95" s="106">
        <f>$C$57</f>
        <v>997308.711738</v>
      </c>
      <c r="F95" s="106">
        <f>$C$57</f>
        <v>997308.711738</v>
      </c>
      <c r="G95" s="106">
        <f>$C$57</f>
        <v>997308.711738</v>
      </c>
      <c r="H95" s="106">
        <f>$C$57</f>
        <v>997308.711738</v>
      </c>
    </row>
    <row r="96" ht="16.5" customHeight="1" spans="1:8">
      <c r="A96" s="88" t="s">
        <v>81</v>
      </c>
      <c r="C96" s="106">
        <f>-C36</f>
        <v>-3687000</v>
      </c>
      <c r="D96" s="26">
        <f>$C$57</f>
        <v>997308.711738</v>
      </c>
      <c r="E96" s="26">
        <f>$C$57</f>
        <v>997308.711738</v>
      </c>
      <c r="F96" s="26">
        <f>$C$57</f>
        <v>997308.711738</v>
      </c>
      <c r="G96" s="26">
        <f>$C$57</f>
        <v>997308.711738</v>
      </c>
      <c r="H96" s="26">
        <f>$C$57+C85</f>
        <v>1306008.711738</v>
      </c>
    </row>
    <row r="97" ht="16.5" customHeight="1" spans="1:8">
      <c r="A97" s="51" t="s">
        <v>82</v>
      </c>
      <c r="C97" s="106">
        <f>C96</f>
        <v>-3687000</v>
      </c>
      <c r="D97" s="106">
        <f>C97+D96</f>
        <v>-2689691.288262</v>
      </c>
      <c r="E97" s="106">
        <f>D97+E96</f>
        <v>-1692382.576524</v>
      </c>
      <c r="F97" s="106">
        <f>E97+F96</f>
        <v>-695073.864786</v>
      </c>
      <c r="G97" s="106">
        <f>F97+G96</f>
        <v>302234.846951999</v>
      </c>
      <c r="H97" s="126">
        <f>G97+H96</f>
        <v>1608243.55869</v>
      </c>
    </row>
    <row r="98" ht="16.5" customHeight="1" spans="1:8">
      <c r="A98" s="127"/>
    </row>
    <row r="100" ht="21.75" customHeight="1" spans="1:8">
      <c r="A100" s="54" t="s">
        <v>83</v>
      </c>
    </row>
    <row r="101" ht="16.5" customHeight="1" spans="1:8">
      <c r="A101" s="55" t="s">
        <v>84</v>
      </c>
    </row>
    <row r="102" spans="1:8">
      <c r="A102" s="128" t="s">
        <v>85</v>
      </c>
      <c r="B102" s="129">
        <v>0.21</v>
      </c>
      <c r="C102" s="130" t="s">
        <v>86</v>
      </c>
      <c r="D102" s="131">
        <f>1-(1-B102)*(1-C14)</f>
        <v>0.255425</v>
      </c>
    </row>
    <row r="103" ht="18" customHeight="1" spans="1:8">
      <c r="A103" s="60" t="s">
        <v>87</v>
      </c>
    </row>
    <row r="104" ht="18" customHeight="1" spans="1:8">
      <c r="A104" s="61"/>
      <c r="B104" s="61" t="s">
        <v>74</v>
      </c>
      <c r="C104" s="61" t="s">
        <v>75</v>
      </c>
      <c r="D104" s="61" t="s">
        <v>76</v>
      </c>
      <c r="E104" s="61" t="s">
        <v>77</v>
      </c>
      <c r="F104" s="61" t="s">
        <v>78</v>
      </c>
      <c r="G104" s="61" t="s">
        <v>79</v>
      </c>
    </row>
    <row r="105" ht="15.75" customHeight="1" spans="1:8">
      <c r="A105" s="62" t="s">
        <v>80</v>
      </c>
      <c r="B105" s="26">
        <f>-C36</f>
        <v>-3687000</v>
      </c>
      <c r="C105" s="26">
        <f>B122</f>
        <v>1148815.44</v>
      </c>
      <c r="D105" s="26">
        <f>C122</f>
        <v>1090128.2032476</v>
      </c>
      <c r="E105" s="26">
        <f>D122</f>
        <v>1036841.4029664</v>
      </c>
      <c r="F105" s="26">
        <f>E122</f>
        <v>855379.256238</v>
      </c>
      <c r="G105" s="26">
        <f>F122</f>
        <v>855379.256238</v>
      </c>
      <c r="H105" s="63"/>
    </row>
    <row r="106" ht="15.75" customHeight="1" spans="1:8">
      <c r="A106" s="62" t="s">
        <v>88</v>
      </c>
      <c r="B106" s="26">
        <f>-C36</f>
        <v>-3687000</v>
      </c>
      <c r="C106" s="26">
        <f>C105</f>
        <v>1148815.44</v>
      </c>
      <c r="D106" s="26">
        <f>D105</f>
        <v>1090128.2032476</v>
      </c>
      <c r="E106" s="26">
        <f>E105</f>
        <v>1036841.4029664</v>
      </c>
      <c r="F106" s="26">
        <f>F105</f>
        <v>855379.256238</v>
      </c>
      <c r="G106" s="26">
        <f>G105+C85</f>
        <v>1164079.256238</v>
      </c>
      <c r="H106" s="63"/>
    </row>
    <row r="107" ht="15.75" customHeight="1" spans="1:8">
      <c r="A107" s="62" t="s">
        <v>89</v>
      </c>
      <c r="B107" s="26">
        <f>B105</f>
        <v>-3687000</v>
      </c>
      <c r="C107" s="26">
        <f>B107+C105</f>
        <v>-2538184.56</v>
      </c>
      <c r="D107" s="26">
        <f>C107+D105</f>
        <v>-1448056.3567524</v>
      </c>
      <c r="E107" s="26">
        <f>D107+E105</f>
        <v>-411214.953786</v>
      </c>
      <c r="F107" s="26">
        <f>E107+F105</f>
        <v>444164.302452</v>
      </c>
      <c r="G107" s="26">
        <f>F107+G105+C85</f>
        <v>1608243.55869</v>
      </c>
    </row>
    <row r="108" ht="15.75" customHeight="1" spans="1:8">
      <c r="A108" s="62" t="s">
        <v>90</v>
      </c>
      <c r="B108" s="64">
        <f>IRR(B105:G105,0.1)</f>
        <v>0.117064389014377</v>
      </c>
      <c r="C108" s="65"/>
      <c r="D108" s="65"/>
      <c r="E108" s="65"/>
      <c r="F108" s="65"/>
      <c r="G108" s="65"/>
    </row>
    <row r="109" ht="15" customHeight="1" spans="1:8">
      <c r="A109" s="62" t="s">
        <v>91</v>
      </c>
      <c r="B109" s="132">
        <f>IRR(B106:G106,0.1)</f>
        <v>0.136594612450286</v>
      </c>
      <c r="C109" s="66"/>
      <c r="D109" s="66"/>
      <c r="E109" s="66"/>
      <c r="F109" s="66"/>
      <c r="G109" s="66"/>
    </row>
    <row r="110" ht="15" customHeight="1" spans="1:8">
      <c r="A110" s="62" t="s">
        <v>92</v>
      </c>
      <c r="B110" s="133">
        <f>B106+NPV($C$17,C106:G106)</f>
        <v>344341.537721404</v>
      </c>
      <c r="C110" s="66"/>
      <c r="D110" s="66"/>
      <c r="E110" s="66"/>
      <c r="F110" s="66"/>
      <c r="G110" s="66"/>
    </row>
    <row r="111" ht="15" customHeight="1" spans="1:8">
      <c r="A111" s="62" t="s">
        <v>93</v>
      </c>
      <c r="B111" s="134">
        <f>3+(SUM(C105:F105)+B105)/F105</f>
        <v>3.51926008166887</v>
      </c>
      <c r="C111" s="66"/>
      <c r="D111" s="66"/>
      <c r="E111" s="66"/>
      <c r="F111" s="66"/>
      <c r="G111" s="66"/>
    </row>
    <row r="113" ht="27.75" customHeight="1" spans="1:6">
      <c r="A113" s="69" t="s">
        <v>94</v>
      </c>
    </row>
    <row r="115" spans="1:6">
      <c r="A115" s="135" t="s">
        <v>95</v>
      </c>
      <c r="B115" s="136"/>
    </row>
    <row r="116" spans="1:6">
      <c r="B116" s="137" t="s">
        <v>75</v>
      </c>
      <c r="C116" s="137" t="s">
        <v>76</v>
      </c>
      <c r="D116" s="137" t="s">
        <v>77</v>
      </c>
      <c r="E116" s="137" t="s">
        <v>78</v>
      </c>
      <c r="F116" s="137" t="s">
        <v>79</v>
      </c>
    </row>
    <row r="117" spans="1:6">
      <c r="A117" s="136" t="s">
        <v>96</v>
      </c>
      <c r="B117" s="138">
        <f>C42+C43+C44+C46+C47+C45</f>
        <v>396448.56</v>
      </c>
      <c r="C117" s="74"/>
      <c r="D117" s="74"/>
      <c r="E117" s="74"/>
      <c r="F117" s="74"/>
    </row>
    <row r="118" spans="1:6">
      <c r="A118" s="75" t="s">
        <v>97</v>
      </c>
      <c r="B118" s="138">
        <f>C40</f>
        <v>1545264</v>
      </c>
      <c r="C118" s="138">
        <f>B118</f>
        <v>1545264</v>
      </c>
      <c r="D118" s="138">
        <f>C118</f>
        <v>1545264</v>
      </c>
      <c r="E118" s="138">
        <f>D118</f>
        <v>1545264</v>
      </c>
      <c r="F118" s="138">
        <f>E118</f>
        <v>1545264</v>
      </c>
    </row>
    <row r="119" spans="1:6">
      <c r="A119" s="103" t="s">
        <v>98</v>
      </c>
      <c r="B119" s="138">
        <f>B118-$B$117</f>
        <v>1148815.44</v>
      </c>
      <c r="C119" s="138">
        <f>C118-$B$117</f>
        <v>1148815.44</v>
      </c>
      <c r="D119" s="138">
        <f>D118-$B$117</f>
        <v>1148815.44</v>
      </c>
      <c r="E119" s="138">
        <f>E118-$B$117</f>
        <v>1148815.44</v>
      </c>
      <c r="F119" s="138">
        <f>F118-$B$117</f>
        <v>1148815.44</v>
      </c>
    </row>
    <row r="120" spans="1:6">
      <c r="A120" s="103" t="s">
        <v>99</v>
      </c>
      <c r="B120" s="138">
        <f>B119-C34*(1-C30)</f>
        <v>-1629484.56</v>
      </c>
      <c r="C120" s="138">
        <f>B120+C119*80%</f>
        <v>-710432.208</v>
      </c>
      <c r="D120" s="73">
        <f>C120+D119*80%</f>
        <v>208620.144</v>
      </c>
      <c r="E120" s="73">
        <v>0</v>
      </c>
      <c r="F120" s="73">
        <v>0</v>
      </c>
    </row>
    <row r="121" spans="1:6">
      <c r="A121" s="76" t="s">
        <v>100</v>
      </c>
      <c r="B121" s="138">
        <f>B119-C34*(1-C30)</f>
        <v>-1629484.56</v>
      </c>
      <c r="C121" s="138">
        <f>C119*20%</f>
        <v>229763.088</v>
      </c>
      <c r="D121" s="138">
        <f>D119*20%+D120</f>
        <v>438383.232</v>
      </c>
      <c r="E121" s="138">
        <f>E119</f>
        <v>1148815.44</v>
      </c>
      <c r="F121" s="138">
        <f>F119</f>
        <v>1148815.44</v>
      </c>
    </row>
    <row r="122" spans="1:6">
      <c r="A122" s="103" t="s">
        <v>101</v>
      </c>
      <c r="B122" s="138">
        <f>B119</f>
        <v>1148815.44</v>
      </c>
      <c r="C122" s="138">
        <f>C119-C121*$D$102</f>
        <v>1090128.2032476</v>
      </c>
      <c r="D122" s="138">
        <f>D119-D121*$D$102</f>
        <v>1036841.4029664</v>
      </c>
      <c r="E122" s="138">
        <f>E119-E121*$D$102</f>
        <v>855379.256238</v>
      </c>
      <c r="F122" s="138">
        <f>F119-F121*$D$102</f>
        <v>855379.256238</v>
      </c>
    </row>
    <row r="123" ht="24" customHeight="1" spans="1:6">
      <c r="A123" s="16"/>
    </row>
    <row r="124" ht="17" spans="1:6">
      <c r="A124" s="31" t="s">
        <v>102</v>
      </c>
    </row>
    <row r="126" spans="1:6">
      <c r="A126" s="70" t="s">
        <v>103</v>
      </c>
      <c r="B126" s="71"/>
    </row>
    <row r="127" spans="1:6">
      <c r="B127" s="72" t="s">
        <v>75</v>
      </c>
      <c r="C127" s="72" t="s">
        <v>76</v>
      </c>
      <c r="D127" s="72" t="s">
        <v>77</v>
      </c>
      <c r="E127" s="72" t="s">
        <v>78</v>
      </c>
      <c r="F127" s="72" t="s">
        <v>79</v>
      </c>
    </row>
    <row r="128" spans="1:6">
      <c r="A128" s="71" t="s">
        <v>96</v>
      </c>
      <c r="B128" s="73">
        <f>C42+C43+C44+C46+C47+C45</f>
        <v>396448.56</v>
      </c>
      <c r="C128" s="74"/>
      <c r="D128" s="74"/>
      <c r="E128" s="74"/>
      <c r="F128" s="74"/>
    </row>
    <row r="129" spans="1:6">
      <c r="A129" s="75" t="s">
        <v>97</v>
      </c>
      <c r="B129" s="73">
        <f>C40</f>
        <v>1545264</v>
      </c>
      <c r="C129" s="73">
        <f>B129*(1-$C$31)</f>
        <v>1390737.6</v>
      </c>
      <c r="D129" s="73">
        <f>C129*(1-$C$31)</f>
        <v>1251663.84</v>
      </c>
      <c r="E129" s="73">
        <f>D129*(1-$C$31)</f>
        <v>1126497.456</v>
      </c>
      <c r="F129" s="73">
        <f>E129*(1-$C$31)</f>
        <v>1013847.7104</v>
      </c>
    </row>
    <row r="130" spans="1:6">
      <c r="A130" s="23" t="s">
        <v>98</v>
      </c>
      <c r="B130" s="73">
        <f t="shared" ref="B130:F130" si="0">B129-$B$117</f>
        <v>1148815.44</v>
      </c>
      <c r="C130" s="73">
        <f t="shared" si="0"/>
        <v>994289.04</v>
      </c>
      <c r="D130" s="73">
        <f t="shared" si="0"/>
        <v>855215.28</v>
      </c>
      <c r="E130" s="73">
        <f t="shared" si="0"/>
        <v>730048.896</v>
      </c>
      <c r="F130" s="73">
        <f t="shared" si="0"/>
        <v>617399.1504</v>
      </c>
    </row>
    <row r="131" spans="1:6">
      <c r="A131" s="23" t="s">
        <v>99</v>
      </c>
      <c r="B131" s="73">
        <f>B119-C34*(1-C30)</f>
        <v>-1629484.56</v>
      </c>
      <c r="C131" s="73">
        <f>B131+C130*80%</f>
        <v>-834053.328</v>
      </c>
      <c r="D131" s="73">
        <f>C131+D130*80%</f>
        <v>-149881.104</v>
      </c>
      <c r="E131" s="73">
        <v>0</v>
      </c>
      <c r="F131" s="73">
        <v>0</v>
      </c>
    </row>
    <row r="132" spans="1:6">
      <c r="A132" s="76" t="s">
        <v>100</v>
      </c>
      <c r="B132" s="73">
        <f>B119-C34*(1-C30)</f>
        <v>-1629484.56</v>
      </c>
      <c r="C132" s="73">
        <f>C130*20%</f>
        <v>198857.808</v>
      </c>
      <c r="D132" s="73">
        <f>D130*20%+D131</f>
        <v>21161.9520000001</v>
      </c>
      <c r="E132" s="73">
        <f>E130</f>
        <v>730048.896</v>
      </c>
      <c r="F132" s="73">
        <f>F130</f>
        <v>617399.1504</v>
      </c>
    </row>
    <row r="133" spans="1:6">
      <c r="A133" s="23" t="s">
        <v>101</v>
      </c>
      <c r="B133" s="73">
        <f>B130</f>
        <v>1148815.44</v>
      </c>
      <c r="C133" s="73">
        <f t="shared" ref="C133:F133" si="1">C130-C132*$D$102</f>
        <v>943495.7843916</v>
      </c>
      <c r="D133" s="73">
        <f t="shared" si="1"/>
        <v>849809.9884104</v>
      </c>
      <c r="E133" s="73">
        <f t="shared" si="1"/>
        <v>543576.1567392</v>
      </c>
      <c r="F133" s="73">
        <f t="shared" si="1"/>
        <v>459699.97240908</v>
      </c>
    </row>
    <row r="137" spans="1:6">
      <c r="A137" s="77"/>
    </row>
    <row r="143" spans="1:6">
      <c r="A143" s="78"/>
    </row>
    <row r="144" spans="1:6">
      <c r="A144" s="78"/>
    </row>
    <row r="145" spans="1:5">
      <c r="A145" s="78"/>
    </row>
    <row r="146" spans="1:5">
      <c r="A146" s="78"/>
    </row>
    <row r="147" spans="1:5">
      <c r="A147" s="78"/>
    </row>
    <row r="148" spans="1:5">
      <c r="A148" s="78"/>
    </row>
    <row r="149" spans="1:5">
      <c r="A149" s="78"/>
    </row>
    <row r="150" spans="1:5">
      <c r="A150" s="78"/>
    </row>
    <row r="151" spans="1:5">
      <c r="A151" s="78"/>
    </row>
    <row r="155" spans="1:5">
      <c r="A155" s="79"/>
      <c r="B155" s="79"/>
      <c r="C155" s="79"/>
      <c r="D155" s="79"/>
      <c r="E155" s="79"/>
    </row>
    <row r="156" spans="1:5">
      <c r="A156" s="80"/>
      <c r="B156" s="81"/>
      <c r="C156" s="80"/>
      <c r="D156" s="82"/>
      <c r="E156" s="83"/>
    </row>
    <row r="157" spans="1:5">
      <c r="A157" s="80"/>
      <c r="B157" s="82"/>
      <c r="C157" s="82"/>
      <c r="D157" s="82"/>
      <c r="E157" s="80"/>
    </row>
    <row r="158" spans="1:5">
      <c r="A158" s="80"/>
      <c r="B158" s="82"/>
      <c r="C158" s="82"/>
      <c r="D158" s="82"/>
      <c r="E158" s="80"/>
    </row>
    <row r="159" spans="1:5">
      <c r="A159" s="80"/>
      <c r="B159" s="82"/>
      <c r="C159" s="82"/>
      <c r="D159" s="82"/>
      <c r="E159" s="80"/>
    </row>
    <row r="160" ht="21" customHeight="1" spans="1:5">
      <c r="A160" s="80"/>
      <c r="B160" s="82"/>
      <c r="C160" s="80"/>
      <c r="D160" s="82"/>
      <c r="E160" s="80"/>
    </row>
    <row r="162" spans="1:1">
      <c r="A162" s="84"/>
    </row>
    <row r="163" spans="1:1">
      <c r="A163" s="36"/>
    </row>
  </sheetData>
  <mergeCells count="7">
    <mergeCell ref="A1:E1"/>
    <mergeCell ref="A2:E2"/>
    <mergeCell ref="A3:E3"/>
    <mergeCell ref="A100:H100"/>
    <mergeCell ref="A101:H101"/>
    <mergeCell ref="A103:H103"/>
    <mergeCell ref="A113:H113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"/>
  <sheetViews>
    <sheetView tabSelected="1" zoomScale="130" zoomScaleNormal="130" workbookViewId="0">
      <pane ySplit="3" topLeftCell="A94" activePane="bottomLeft" state="frozen"/>
      <selection/>
      <selection pane="bottomLeft" activeCell="E110" sqref="E110"/>
    </sheetView>
  </sheetViews>
  <sheetFormatPr defaultColWidth="8.6328125" defaultRowHeight="16.8" outlineLevelCol="7"/>
  <cols>
    <col min="1" max="1" width="38" customWidth="1"/>
    <col min="2" max="4" width="16" customWidth="1"/>
    <col min="5" max="5" width="16.828125" customWidth="1"/>
    <col min="6" max="6" width="16" customWidth="1"/>
    <col min="7" max="7" width="14.921875" customWidth="1"/>
    <col min="8" max="8" width="16" customWidth="1"/>
  </cols>
  <sheetData>
    <row r="1" ht="20.25" customHeight="1" spans="1:8">
      <c r="A1" s="1" t="s">
        <v>0</v>
      </c>
      <c r="B1" s="1"/>
      <c r="C1" s="1"/>
      <c r="D1" s="1"/>
      <c r="E1" s="1"/>
    </row>
    <row r="2" ht="16.5" customHeight="1" spans="1:8">
      <c r="A2" s="2" t="s">
        <v>104</v>
      </c>
      <c r="B2" s="2"/>
      <c r="C2" s="2"/>
      <c r="D2" s="2"/>
      <c r="E2" s="2"/>
    </row>
    <row r="3" ht="16.5" customHeight="1" spans="1:8">
      <c r="A3" s="3"/>
      <c r="B3" s="3"/>
      <c r="C3" s="3"/>
      <c r="D3" s="3"/>
      <c r="E3" s="3"/>
    </row>
    <row r="4" ht="16.5" customHeight="1" spans="1:8">
      <c r="A4" s="4" t="s">
        <v>2</v>
      </c>
      <c r="B4" s="5"/>
      <c r="C4" s="5"/>
      <c r="D4" s="5"/>
      <c r="E4" s="5"/>
      <c r="F4" s="5"/>
      <c r="G4" s="5"/>
      <c r="H4" s="5"/>
    </row>
    <row r="5" ht="16.5" customHeight="1" spans="1:8">
      <c r="A5" s="6" t="s">
        <v>3</v>
      </c>
      <c r="C5" s="7">
        <v>400000</v>
      </c>
    </row>
    <row r="6" ht="16.5" customHeight="1" spans="1:8">
      <c r="A6" s="6" t="s">
        <v>4</v>
      </c>
      <c r="C6" s="7">
        <v>200000</v>
      </c>
    </row>
    <row r="7" ht="16.5" customHeight="1" spans="1:8">
      <c r="A7" s="8" t="s">
        <v>5</v>
      </c>
      <c r="C7" s="9">
        <f>C5+C6</f>
        <v>600000</v>
      </c>
    </row>
    <row r="8" ht="16.5" customHeight="1" spans="1:8">
      <c r="A8" s="6" t="s">
        <v>6</v>
      </c>
      <c r="C8" s="10">
        <v>60</v>
      </c>
    </row>
    <row r="9" ht="16.5" customHeight="1" spans="1:8">
      <c r="A9" s="6" t="s">
        <v>7</v>
      </c>
      <c r="C9" s="10">
        <v>3750</v>
      </c>
    </row>
    <row r="10" ht="16.5" customHeight="1" spans="1:8">
      <c r="A10" s="6" t="s">
        <v>8</v>
      </c>
      <c r="C10" s="10">
        <v>2500</v>
      </c>
    </row>
    <row r="11" ht="16.5" customHeight="1" spans="1:8">
      <c r="A11" s="6" t="s">
        <v>9</v>
      </c>
      <c r="C11" s="11">
        <v>0.03</v>
      </c>
    </row>
    <row r="12" ht="16.5" customHeight="1" spans="1:8">
      <c r="A12" s="6" t="s">
        <v>10</v>
      </c>
      <c r="C12" s="11">
        <v>0.01</v>
      </c>
    </row>
    <row r="13" spans="1:8">
      <c r="A13" s="6" t="s">
        <v>11</v>
      </c>
      <c r="C13" s="11">
        <v>0.21</v>
      </c>
    </row>
    <row r="14" ht="16.5" customHeight="1" spans="1:8">
      <c r="A14" s="6" t="s">
        <v>12</v>
      </c>
      <c r="C14" s="11">
        <v>0.0575</v>
      </c>
    </row>
    <row r="15" ht="16.5" customHeight="1" spans="1:8">
      <c r="A15" s="6" t="s">
        <v>13</v>
      </c>
      <c r="C15" s="11">
        <v>0.01</v>
      </c>
    </row>
    <row r="16" ht="16.5" customHeight="1" spans="1:8">
      <c r="A16" s="6" t="s">
        <v>14</v>
      </c>
      <c r="C16" s="12">
        <v>8760</v>
      </c>
    </row>
    <row r="17" ht="16.5" customHeight="1" spans="1:8">
      <c r="A17" s="6" t="s">
        <v>15</v>
      </c>
      <c r="C17" s="13">
        <v>0.1</v>
      </c>
    </row>
    <row r="19" ht="19" customHeight="1" spans="1:8">
      <c r="A19" s="4" t="s">
        <v>16</v>
      </c>
      <c r="B19" s="5"/>
      <c r="C19" s="5"/>
      <c r="D19" s="5"/>
      <c r="E19" s="5"/>
      <c r="F19" s="5"/>
      <c r="G19" s="5"/>
      <c r="H19" s="5"/>
    </row>
    <row r="20" ht="15" customHeight="1" spans="1:8">
      <c r="C20" s="14"/>
    </row>
    <row r="21" ht="19" customHeight="1" spans="1:8">
      <c r="A21" s="6" t="s">
        <v>18</v>
      </c>
      <c r="C21" s="15">
        <v>191800</v>
      </c>
      <c r="D21" s="16"/>
    </row>
    <row r="22" ht="16.5" customHeight="1" spans="1:8">
      <c r="A22" s="6" t="s">
        <v>19</v>
      </c>
      <c r="C22" s="17">
        <v>35</v>
      </c>
    </row>
    <row r="23" ht="16.5" customHeight="1" spans="1:8">
      <c r="A23" s="6" t="s">
        <v>20</v>
      </c>
      <c r="C23" s="17">
        <v>8</v>
      </c>
    </row>
    <row r="24" ht="16.5" customHeight="1" spans="1:8">
      <c r="A24" s="8" t="s">
        <v>21</v>
      </c>
      <c r="C24" s="18">
        <f>C22*C23</f>
        <v>280</v>
      </c>
    </row>
    <row r="25" ht="16.5" customHeight="1" spans="1:8">
      <c r="A25" s="6" t="s">
        <v>22</v>
      </c>
      <c r="C25" s="19">
        <v>6.3</v>
      </c>
    </row>
    <row r="26" ht="16.5" customHeight="1" spans="1:8">
      <c r="A26" s="6" t="s">
        <v>23</v>
      </c>
      <c r="C26" s="20">
        <v>1.3</v>
      </c>
    </row>
    <row r="27" ht="16.5" customHeight="1" spans="1:8">
      <c r="A27" s="6" t="s">
        <v>24</v>
      </c>
      <c r="C27" s="21">
        <v>1.94</v>
      </c>
    </row>
    <row r="28" ht="16.5" customHeight="1" spans="1:8">
      <c r="A28" s="6" t="s">
        <v>25</v>
      </c>
      <c r="C28" s="13">
        <v>1</v>
      </c>
    </row>
    <row r="29" ht="16.5" customHeight="1" spans="1:8">
      <c r="A29" s="6" t="s">
        <v>26</v>
      </c>
      <c r="C29" s="22">
        <v>5</v>
      </c>
    </row>
    <row r="30" ht="16.5" customHeight="1" spans="1:8">
      <c r="A30" s="6" t="s">
        <v>27</v>
      </c>
      <c r="C30" s="13">
        <v>0.1</v>
      </c>
    </row>
    <row r="31" ht="14" customHeight="1" spans="1:8">
      <c r="A31" s="23" t="s">
        <v>28</v>
      </c>
      <c r="C31" s="24">
        <v>0.1</v>
      </c>
      <c r="D31" s="16"/>
    </row>
    <row r="32" ht="16.5" customHeight="1" spans="1:8">
      <c r="A32" s="4" t="s">
        <v>29</v>
      </c>
      <c r="B32" s="5"/>
      <c r="C32" s="5"/>
      <c r="D32" s="5"/>
      <c r="E32" s="5"/>
      <c r="F32" s="5"/>
      <c r="G32" s="5"/>
      <c r="H32" s="5"/>
    </row>
    <row r="33" ht="16.5" customHeight="1" spans="1:8">
      <c r="C33" s="25"/>
    </row>
    <row r="34" ht="16.5" customHeight="1" spans="1:8">
      <c r="A34" s="6" t="s">
        <v>30</v>
      </c>
      <c r="C34" s="9">
        <f>C22*C21</f>
        <v>6713000</v>
      </c>
    </row>
    <row r="35" ht="16.5" customHeight="1" spans="1:8">
      <c r="A35" s="6" t="s">
        <v>5</v>
      </c>
      <c r="C35" s="26">
        <f>C7</f>
        <v>600000</v>
      </c>
    </row>
    <row r="36" ht="21" customHeight="1" spans="1:8">
      <c r="A36" s="27" t="s">
        <v>31</v>
      </c>
      <c r="C36" s="28">
        <f>C34+C35</f>
        <v>7313000</v>
      </c>
    </row>
    <row r="38" ht="16.5" customHeight="1" spans="1:8">
      <c r="A38" s="4" t="s">
        <v>32</v>
      </c>
      <c r="B38" s="5"/>
      <c r="C38" s="5"/>
      <c r="D38" s="5"/>
      <c r="E38" s="5"/>
      <c r="F38" s="5"/>
      <c r="G38" s="5"/>
      <c r="H38" s="5"/>
    </row>
    <row r="39" ht="16.5" customHeight="1" spans="1:8">
      <c r="C39" s="25"/>
    </row>
    <row r="40" ht="16.5" customHeight="1" spans="1:8">
      <c r="A40" s="8" t="s">
        <v>33</v>
      </c>
      <c r="C40" s="9">
        <f>C24*C27*C16*C28</f>
        <v>4758432</v>
      </c>
    </row>
    <row r="42" ht="16.5" customHeight="1" spans="1:8">
      <c r="A42" s="6" t="s">
        <v>34</v>
      </c>
      <c r="C42" s="26">
        <f>C22*C25*C26*C8*12</f>
        <v>206388</v>
      </c>
    </row>
    <row r="43" ht="16.5" customHeight="1" spans="1:8">
      <c r="A43" s="6" t="s">
        <v>35</v>
      </c>
      <c r="C43" s="26">
        <f>C9*12</f>
        <v>45000</v>
      </c>
    </row>
    <row r="44" ht="16.5" customHeight="1" spans="1:8">
      <c r="A44" s="6" t="s">
        <v>36</v>
      </c>
      <c r="C44" s="26">
        <f>C10*12</f>
        <v>30000</v>
      </c>
    </row>
    <row r="45" ht="16.5" customHeight="1" spans="1:8">
      <c r="A45" s="6" t="s">
        <v>37</v>
      </c>
      <c r="C45" s="26">
        <f>C40*C11</f>
        <v>142752.96</v>
      </c>
    </row>
    <row r="46" ht="16.5" customHeight="1" spans="1:8">
      <c r="A46" s="6" t="s">
        <v>38</v>
      </c>
      <c r="C46" s="26">
        <f>C36*C12</f>
        <v>73130</v>
      </c>
    </row>
    <row r="47" ht="16.5" customHeight="1" spans="1:8">
      <c r="A47" s="6" t="s">
        <v>39</v>
      </c>
      <c r="C47" s="26">
        <f>C40*C15</f>
        <v>47584.32</v>
      </c>
    </row>
    <row r="48" ht="16.5" customHeight="1" spans="1:8">
      <c r="A48" s="27" t="s">
        <v>40</v>
      </c>
      <c r="C48" s="28">
        <f>SUM(C42:C47)</f>
        <v>544855.28</v>
      </c>
    </row>
    <row r="50" ht="16.5" customHeight="1" spans="1:8">
      <c r="A50" s="8" t="s">
        <v>41</v>
      </c>
      <c r="C50" s="29">
        <f>C40-C48</f>
        <v>4213576.72</v>
      </c>
    </row>
    <row r="51" ht="16.5" customHeight="1" spans="1:8">
      <c r="A51" s="6" t="s">
        <v>42</v>
      </c>
      <c r="C51" s="30">
        <f>C48/C40</f>
        <v>0.114503113630709</v>
      </c>
    </row>
    <row r="52" ht="16.5" customHeight="1" spans="1:8">
      <c r="A52" s="6" t="s">
        <v>43</v>
      </c>
      <c r="C52" s="30">
        <f>C50/C40</f>
        <v>0.885496886369291</v>
      </c>
    </row>
    <row r="54" ht="16.5" customHeight="1" spans="1:8">
      <c r="A54" s="6" t="s">
        <v>44</v>
      </c>
      <c r="C54" s="26">
        <f>C34*(1-C30)/C29</f>
        <v>1208340</v>
      </c>
    </row>
    <row r="55" ht="16.5" customHeight="1" spans="1:8">
      <c r="A55" s="8" t="s">
        <v>45</v>
      </c>
      <c r="C55" s="9">
        <f>C50-C54</f>
        <v>3005236.72</v>
      </c>
    </row>
    <row r="56" ht="16.5" customHeight="1" spans="1:8">
      <c r="A56" s="31" t="s">
        <v>46</v>
      </c>
      <c r="C56" s="9">
        <f>C55*D102</f>
        <v>767612.589206</v>
      </c>
    </row>
    <row r="57" ht="16.5" customHeight="1" spans="1:8">
      <c r="A57" t="s">
        <v>47</v>
      </c>
      <c r="C57" s="32">
        <f>C50-C56</f>
        <v>3445964.130794</v>
      </c>
    </row>
    <row r="58" ht="16.5" customHeight="1" spans="1:8">
      <c r="A58" s="4" t="s">
        <v>48</v>
      </c>
      <c r="B58" s="5"/>
      <c r="C58" s="5"/>
      <c r="D58" s="5"/>
      <c r="E58" s="5"/>
      <c r="F58" s="5"/>
      <c r="G58" s="5"/>
      <c r="H58" s="5"/>
    </row>
    <row r="59" ht="16.5" customHeight="1" spans="1:8">
      <c r="C59" s="25"/>
    </row>
    <row r="60" ht="16.5" customHeight="1" spans="1:8">
      <c r="A60" s="6" t="s">
        <v>49</v>
      </c>
      <c r="C60" s="26">
        <f>C40/C24</f>
        <v>16994.4</v>
      </c>
    </row>
    <row r="61" ht="16.5" customHeight="1" spans="1:8">
      <c r="A61" s="6" t="s">
        <v>50</v>
      </c>
      <c r="C61" s="26">
        <f>C48/C24</f>
        <v>1945.91171428571</v>
      </c>
    </row>
    <row r="62" ht="16.5" customHeight="1" spans="1:8">
      <c r="A62" s="8" t="s">
        <v>51</v>
      </c>
      <c r="C62" s="9">
        <f>C57/C24</f>
        <v>12307.0147528357</v>
      </c>
    </row>
    <row r="63" ht="16.5" customHeight="1" spans="1:8">
      <c r="A63" s="6" t="s">
        <v>52</v>
      </c>
      <c r="C63" s="26">
        <f>C36/C24</f>
        <v>26117.8571428571</v>
      </c>
    </row>
    <row r="65" ht="16.5" customHeight="1" spans="1:8">
      <c r="A65" s="4" t="s">
        <v>53</v>
      </c>
      <c r="B65" s="5"/>
      <c r="C65" s="5"/>
      <c r="D65" s="5"/>
      <c r="E65" s="5"/>
      <c r="F65" s="5"/>
      <c r="G65" s="5"/>
      <c r="H65" s="5"/>
    </row>
    <row r="66" ht="16.5" customHeight="1" spans="1:8">
      <c r="C66" s="25"/>
    </row>
    <row r="67" ht="16.5" customHeight="1" spans="1:8">
      <c r="A67" s="6" t="s">
        <v>54</v>
      </c>
      <c r="C67" s="33">
        <f>C22*C25</f>
        <v>220.5</v>
      </c>
    </row>
    <row r="68" ht="16.5" customHeight="1" spans="1:8">
      <c r="A68" s="8" t="s">
        <v>55</v>
      </c>
      <c r="C68" s="34">
        <f>C67*C26</f>
        <v>286.65</v>
      </c>
    </row>
    <row r="69" ht="16.5" customHeight="1" spans="1:8">
      <c r="A69" s="6" t="s">
        <v>56</v>
      </c>
      <c r="C69" s="26">
        <f>C40/C68</f>
        <v>16600.1465201465</v>
      </c>
    </row>
    <row r="70" ht="16.5" customHeight="1" spans="1:8">
      <c r="A70" s="6" t="s">
        <v>57</v>
      </c>
      <c r="C70" s="26">
        <f>C57/C68</f>
        <v>12021.504032074</v>
      </c>
    </row>
    <row r="72" ht="16.5" customHeight="1" spans="1:8">
      <c r="A72" s="4" t="s">
        <v>58</v>
      </c>
      <c r="B72" s="5"/>
      <c r="C72" s="5"/>
      <c r="D72" s="5"/>
      <c r="E72" s="5"/>
      <c r="F72" s="5"/>
      <c r="G72" s="5"/>
      <c r="H72" s="5"/>
    </row>
    <row r="73" ht="16.5" customHeight="1" spans="1:8">
      <c r="C73" s="35" t="s">
        <v>59</v>
      </c>
      <c r="E73" s="36" t="s">
        <v>60</v>
      </c>
    </row>
    <row r="74" ht="16.5" customHeight="1" spans="1:8">
      <c r="A74" s="6" t="s">
        <v>61</v>
      </c>
      <c r="C74" s="37">
        <f>C29</f>
        <v>5</v>
      </c>
      <c r="E74" s="37">
        <f>C29</f>
        <v>5</v>
      </c>
    </row>
    <row r="75" ht="16.5" customHeight="1" spans="1:8">
      <c r="A75" s="8" t="s">
        <v>62</v>
      </c>
      <c r="C75" s="38">
        <f>C57/C36</f>
        <v>0.471210738519622</v>
      </c>
      <c r="E75" s="38">
        <f>AVERAGE(C105:G105)/C36</f>
        <v>0.471210738519622</v>
      </c>
    </row>
    <row r="76" ht="16.5" customHeight="1" spans="1:8">
      <c r="A76" s="8" t="s">
        <v>63</v>
      </c>
      <c r="C76" s="39">
        <f>C36/C57</f>
        <v>2.12219272239348</v>
      </c>
      <c r="D76" s="40"/>
      <c r="E76" s="39">
        <f>B111</f>
        <v>1.85993039466596</v>
      </c>
    </row>
    <row r="78" ht="16.5" customHeight="1" spans="1:8">
      <c r="A78" s="41" t="s">
        <v>64</v>
      </c>
      <c r="B78" s="42"/>
      <c r="C78" s="42"/>
      <c r="D78" s="42"/>
      <c r="E78" s="42"/>
    </row>
    <row r="79" ht="16.5" customHeight="1" spans="1:8">
      <c r="A79" s="6" t="s">
        <v>65</v>
      </c>
      <c r="C79" s="38">
        <f>(C57*C29-C36)/C36</f>
        <v>1.35605369259811</v>
      </c>
      <c r="E79" s="38">
        <f>(SUM(C105:G105)-C36)/C36</f>
        <v>1.35605369259811</v>
      </c>
    </row>
    <row r="80" ht="16.5" customHeight="1" spans="1:8">
      <c r="A80" s="6" t="s">
        <v>66</v>
      </c>
      <c r="C80" s="43">
        <f>C57*C29/C36</f>
        <v>2.35605369259811</v>
      </c>
      <c r="E80" s="43">
        <f>SUM(C105:G105)/C36</f>
        <v>2.35605369259811</v>
      </c>
    </row>
    <row r="81" ht="16.5" customHeight="1" spans="1:8">
      <c r="A81" s="8" t="s">
        <v>67</v>
      </c>
      <c r="C81" s="44">
        <f>IRR(C95:H95)</f>
        <v>0.375516376158515</v>
      </c>
      <c r="E81" s="44">
        <f>B108</f>
        <v>0.406847187444396</v>
      </c>
    </row>
    <row r="82" ht="16.5" customHeight="1" spans="1:8">
      <c r="A82" s="6" t="s">
        <v>68</v>
      </c>
      <c r="C82" s="26">
        <f>C95+NPV($C$17,D95:H95)</f>
        <v>5749915.23486997</v>
      </c>
      <c r="E82" s="26">
        <f>B105+NPV($C$17,C105:G105)</f>
        <v>5944245.30585172</v>
      </c>
    </row>
    <row r="84" ht="16.5" customHeight="1" spans="1:8">
      <c r="A84" s="41" t="s">
        <v>69</v>
      </c>
      <c r="B84" s="42"/>
      <c r="C84" s="42"/>
      <c r="D84" s="42"/>
      <c r="E84" s="42"/>
    </row>
    <row r="85" ht="16.5" customHeight="1" spans="1:8">
      <c r="A85" s="6" t="s">
        <v>70</v>
      </c>
      <c r="C85" s="26">
        <f>C34*C30</f>
        <v>671300</v>
      </c>
      <c r="E85" s="26">
        <f>C34*C30</f>
        <v>671300</v>
      </c>
    </row>
    <row r="86" ht="16.5" customHeight="1" spans="1:8">
      <c r="A86" s="6" t="s">
        <v>65</v>
      </c>
      <c r="C86" s="30">
        <f>(C57*C29+C85-C36)/C36</f>
        <v>1.44784912538903</v>
      </c>
      <c r="E86" s="30">
        <f>(SUM(C105:G105)+E85-C36)/C36</f>
        <v>1.44784912538903</v>
      </c>
    </row>
    <row r="87" ht="16.5" customHeight="1" spans="1:8">
      <c r="A87" s="6" t="s">
        <v>66</v>
      </c>
      <c r="C87" s="43">
        <f>(C57*C29+C85)/C36</f>
        <v>2.44784912538903</v>
      </c>
      <c r="E87" s="43">
        <f>(SUM(C105:G105)+E85)/C36</f>
        <v>2.44784912538903</v>
      </c>
    </row>
    <row r="88" ht="16.5" customHeight="1" spans="1:8">
      <c r="A88" s="45" t="s">
        <v>67</v>
      </c>
      <c r="C88" s="46">
        <f>IRR(C96:H96)</f>
        <v>0.386013224208737</v>
      </c>
      <c r="E88" s="46">
        <f>B109</f>
        <v>0.41727695196533</v>
      </c>
      <c r="G88" s="31" t="s">
        <v>71</v>
      </c>
    </row>
    <row r="89" ht="16.5" customHeight="1" spans="1:8">
      <c r="A89" s="6" t="s">
        <v>68</v>
      </c>
      <c r="C89" s="47">
        <f>C96+NPV($C$17,D96:H96)</f>
        <v>6166739.71903958</v>
      </c>
      <c r="E89" s="47">
        <f>B106+NPV($C$17,C106:G106)</f>
        <v>6361069.79002133</v>
      </c>
      <c r="G89" s="47">
        <f>E89-C89</f>
        <v>194330.070981752</v>
      </c>
    </row>
    <row r="91" ht="16.5" customHeight="1" spans="1:8">
      <c r="A91" s="4" t="s">
        <v>72</v>
      </c>
      <c r="B91" s="5"/>
      <c r="C91" s="5"/>
      <c r="D91" s="5"/>
      <c r="E91" s="5"/>
      <c r="F91" s="5"/>
      <c r="G91" s="5"/>
      <c r="H91" s="5"/>
    </row>
    <row r="92" ht="16.5" customHeight="1" spans="1:8">
      <c r="A92" s="48" t="s">
        <v>59</v>
      </c>
    </row>
    <row r="93" ht="16.5" customHeight="1" spans="1:8">
      <c r="C93" s="25" t="s">
        <v>74</v>
      </c>
      <c r="D93" s="25" t="s">
        <v>75</v>
      </c>
      <c r="E93" s="25" t="s">
        <v>76</v>
      </c>
      <c r="F93" s="25" t="s">
        <v>77</v>
      </c>
      <c r="G93" s="25" t="s">
        <v>78</v>
      </c>
      <c r="H93" s="49" t="s">
        <v>79</v>
      </c>
    </row>
    <row r="94" ht="16.5" customHeight="1" spans="1:8">
      <c r="A94" s="50"/>
    </row>
    <row r="95" ht="16.5" customHeight="1" spans="1:8">
      <c r="A95" s="6" t="s">
        <v>80</v>
      </c>
      <c r="C95" s="26">
        <f>-C36</f>
        <v>-7313000</v>
      </c>
      <c r="D95" s="26">
        <f t="shared" ref="D95:H95" si="0">$C$57</f>
        <v>3445964.130794</v>
      </c>
      <c r="E95" s="26">
        <f t="shared" si="0"/>
        <v>3445964.130794</v>
      </c>
      <c r="F95" s="26">
        <f t="shared" si="0"/>
        <v>3445964.130794</v>
      </c>
      <c r="G95" s="26">
        <f t="shared" si="0"/>
        <v>3445964.130794</v>
      </c>
      <c r="H95" s="26">
        <f t="shared" si="0"/>
        <v>3445964.130794</v>
      </c>
    </row>
    <row r="96" ht="16.5" customHeight="1" spans="1:8">
      <c r="A96" s="6" t="s">
        <v>81</v>
      </c>
      <c r="C96" s="26">
        <f>-C36</f>
        <v>-7313000</v>
      </c>
      <c r="D96" s="26">
        <f t="shared" ref="D96:G96" si="1">$C$57</f>
        <v>3445964.130794</v>
      </c>
      <c r="E96" s="26">
        <f t="shared" si="1"/>
        <v>3445964.130794</v>
      </c>
      <c r="F96" s="26">
        <f t="shared" si="1"/>
        <v>3445964.130794</v>
      </c>
      <c r="G96" s="26">
        <f t="shared" si="1"/>
        <v>3445964.130794</v>
      </c>
      <c r="H96" s="26">
        <f>$C$57+C85</f>
        <v>4117264.130794</v>
      </c>
    </row>
    <row r="97" ht="16.5" customHeight="1" spans="1:8">
      <c r="A97" s="51" t="s">
        <v>82</v>
      </c>
      <c r="C97" s="26">
        <f>C96</f>
        <v>-7313000</v>
      </c>
      <c r="D97" s="26">
        <f t="shared" ref="D97:H97" si="2">C97+D96</f>
        <v>-3867035.869206</v>
      </c>
      <c r="E97" s="26">
        <f t="shared" si="2"/>
        <v>-421071.738412002</v>
      </c>
      <c r="F97" s="26">
        <f t="shared" si="2"/>
        <v>3024892.392382</v>
      </c>
      <c r="G97" s="26">
        <f t="shared" si="2"/>
        <v>6470856.523176</v>
      </c>
      <c r="H97" s="52">
        <f t="shared" si="2"/>
        <v>10588120.65397</v>
      </c>
    </row>
    <row r="98" ht="16.5" customHeight="1" spans="1:8">
      <c r="A98" s="53"/>
    </row>
    <row r="100" ht="21.75" customHeight="1" spans="1:8">
      <c r="A100" s="54" t="s">
        <v>83</v>
      </c>
      <c r="B100" s="54"/>
      <c r="C100" s="54"/>
      <c r="D100" s="54"/>
      <c r="E100" s="54"/>
      <c r="F100" s="54"/>
      <c r="G100" s="54"/>
      <c r="H100" s="54"/>
    </row>
    <row r="101" ht="16.5" customHeight="1" spans="1:8">
      <c r="A101" s="55" t="s">
        <v>84</v>
      </c>
      <c r="B101" s="55"/>
      <c r="C101" s="55"/>
      <c r="D101" s="55"/>
      <c r="E101" s="55"/>
      <c r="F101" s="55"/>
      <c r="G101" s="55"/>
      <c r="H101" s="55"/>
    </row>
    <row r="102" spans="1:8">
      <c r="A102" s="56" t="s">
        <v>85</v>
      </c>
      <c r="B102" s="57">
        <v>0.21</v>
      </c>
      <c r="C102" s="58" t="s">
        <v>86</v>
      </c>
      <c r="D102" s="59">
        <f>1-(1-B102)*(1-C14)</f>
        <v>0.255425</v>
      </c>
    </row>
    <row r="103" ht="18" customHeight="1" spans="1:8">
      <c r="A103" s="60" t="s">
        <v>87</v>
      </c>
      <c r="B103" s="60"/>
      <c r="C103" s="60"/>
      <c r="D103" s="60"/>
      <c r="E103" s="60"/>
      <c r="F103" s="60"/>
      <c r="G103" s="60"/>
      <c r="H103" s="60"/>
    </row>
    <row r="104" ht="18" customHeight="1" spans="1:8">
      <c r="A104" s="61"/>
      <c r="B104" s="61" t="s">
        <v>74</v>
      </c>
      <c r="C104" s="61" t="s">
        <v>75</v>
      </c>
      <c r="D104" s="61" t="s">
        <v>76</v>
      </c>
      <c r="E104" s="61" t="s">
        <v>77</v>
      </c>
      <c r="F104" s="61" t="s">
        <v>78</v>
      </c>
      <c r="G104" s="61" t="s">
        <v>79</v>
      </c>
    </row>
    <row r="105" ht="15.75" customHeight="1" spans="1:8">
      <c r="A105" s="62" t="s">
        <v>80</v>
      </c>
      <c r="B105" s="26">
        <f>-C36</f>
        <v>-7313000</v>
      </c>
      <c r="C105" s="26">
        <f t="shared" ref="C105:G105" si="3">B122</f>
        <v>4213576.72</v>
      </c>
      <c r="D105" s="26">
        <f t="shared" si="3"/>
        <v>3604272.275088</v>
      </c>
      <c r="E105" s="26">
        <f t="shared" si="3"/>
        <v>3137323.886294</v>
      </c>
      <c r="F105" s="26">
        <f t="shared" si="3"/>
        <v>3137323.886294</v>
      </c>
      <c r="G105" s="26">
        <f t="shared" si="3"/>
        <v>3137323.886294</v>
      </c>
      <c r="H105" s="63"/>
    </row>
    <row r="106" ht="15.75" customHeight="1" spans="1:8">
      <c r="A106" s="62" t="s">
        <v>88</v>
      </c>
      <c r="B106" s="26">
        <f>-C36</f>
        <v>-7313000</v>
      </c>
      <c r="C106" s="26">
        <f t="shared" ref="C106:F106" si="4">C105</f>
        <v>4213576.72</v>
      </c>
      <c r="D106" s="26">
        <f t="shared" si="4"/>
        <v>3604272.275088</v>
      </c>
      <c r="E106" s="26">
        <f t="shared" si="4"/>
        <v>3137323.886294</v>
      </c>
      <c r="F106" s="26">
        <f t="shared" si="4"/>
        <v>3137323.886294</v>
      </c>
      <c r="G106" s="26">
        <f>G105+C85</f>
        <v>3808623.886294</v>
      </c>
      <c r="H106" s="63"/>
    </row>
    <row r="107" ht="15.75" customHeight="1" spans="1:8">
      <c r="A107" s="62" t="s">
        <v>89</v>
      </c>
      <c r="B107" s="26">
        <f>B105</f>
        <v>-7313000</v>
      </c>
      <c r="C107" s="26">
        <f>B107+C105</f>
        <v>-3099423.28</v>
      </c>
      <c r="D107" s="26">
        <f>C107+D105</f>
        <v>504848.995087998</v>
      </c>
      <c r="E107" s="26">
        <f>D107+E105</f>
        <v>3642172.881382</v>
      </c>
      <c r="F107" s="26">
        <f>E107+F105</f>
        <v>6779496.767676</v>
      </c>
      <c r="G107" s="26">
        <f>F107+G105+C85</f>
        <v>10588120.65397</v>
      </c>
    </row>
    <row r="108" ht="15.75" customHeight="1" spans="1:8">
      <c r="A108" s="62" t="s">
        <v>90</v>
      </c>
      <c r="B108" s="64">
        <f>IRR(B105:G105,0.1)</f>
        <v>0.406847187444396</v>
      </c>
      <c r="C108" s="65"/>
      <c r="D108" s="65"/>
      <c r="E108" s="65"/>
      <c r="F108" s="65"/>
      <c r="G108" s="65"/>
    </row>
    <row r="109" ht="15" customHeight="1" spans="1:8">
      <c r="A109" s="62" t="s">
        <v>91</v>
      </c>
      <c r="B109" s="64">
        <f>IRR(B106:G106,0.1)</f>
        <v>0.41727695196533</v>
      </c>
      <c r="C109" s="66"/>
      <c r="D109" s="66"/>
      <c r="E109" s="66"/>
      <c r="F109" s="66"/>
      <c r="G109" s="66"/>
    </row>
    <row r="110" ht="15" customHeight="1" spans="1:8">
      <c r="A110" s="62" t="s">
        <v>92</v>
      </c>
      <c r="B110" s="67">
        <f>B106+NPV($C$17,C106:G106)</f>
        <v>6361069.79002133</v>
      </c>
      <c r="C110" s="66"/>
      <c r="D110" s="66"/>
      <c r="E110" s="66"/>
      <c r="F110" s="66"/>
      <c r="G110" s="66"/>
    </row>
    <row r="111" ht="15" customHeight="1" spans="1:8">
      <c r="A111" s="62" t="s">
        <v>93</v>
      </c>
      <c r="B111" s="68">
        <f>1+(-B105-C105)/D105</f>
        <v>1.85993039466596</v>
      </c>
      <c r="C111" s="66"/>
      <c r="D111" s="66"/>
      <c r="E111" s="66"/>
      <c r="F111" s="66"/>
      <c r="G111" s="66"/>
    </row>
    <row r="113" ht="27.75" customHeight="1" spans="1:8">
      <c r="A113" s="69" t="s">
        <v>94</v>
      </c>
      <c r="B113" s="69"/>
      <c r="C113" s="69"/>
      <c r="D113" s="69"/>
      <c r="E113" s="69"/>
      <c r="F113" s="69"/>
      <c r="G113" s="69"/>
      <c r="H113" s="69"/>
    </row>
    <row r="115" spans="1:8">
      <c r="A115" s="70" t="s">
        <v>95</v>
      </c>
      <c r="B115" s="71"/>
    </row>
    <row r="116" spans="1:8">
      <c r="B116" s="72" t="s">
        <v>75</v>
      </c>
      <c r="C116" s="72" t="s">
        <v>76</v>
      </c>
      <c r="D116" s="72" t="s">
        <v>77</v>
      </c>
      <c r="E116" s="72" t="s">
        <v>78</v>
      </c>
      <c r="F116" s="72" t="s">
        <v>79</v>
      </c>
    </row>
    <row r="117" spans="1:8">
      <c r="A117" s="71" t="s">
        <v>96</v>
      </c>
      <c r="B117" s="73">
        <f>C42+C43+C44+C46+C47+C45</f>
        <v>544855.28</v>
      </c>
      <c r="C117" s="74"/>
      <c r="D117" s="74"/>
      <c r="E117" s="74"/>
      <c r="F117" s="74"/>
    </row>
    <row r="118" spans="1:8">
      <c r="A118" s="75" t="s">
        <v>97</v>
      </c>
      <c r="B118" s="73">
        <f>C40</f>
        <v>4758432</v>
      </c>
      <c r="C118" s="73">
        <f>B118</f>
        <v>4758432</v>
      </c>
      <c r="D118" s="73">
        <f>C118</f>
        <v>4758432</v>
      </c>
      <c r="E118" s="73">
        <f>D118</f>
        <v>4758432</v>
      </c>
      <c r="F118" s="73">
        <f>E118</f>
        <v>4758432</v>
      </c>
    </row>
    <row r="119" spans="1:8">
      <c r="A119" s="23" t="s">
        <v>98</v>
      </c>
      <c r="B119" s="73">
        <f>B118-$B$117</f>
        <v>4213576.72</v>
      </c>
      <c r="C119" s="73">
        <f t="shared" ref="B119:F119" si="5">C118-$B$117</f>
        <v>4213576.72</v>
      </c>
      <c r="D119" s="73">
        <f t="shared" si="5"/>
        <v>4213576.72</v>
      </c>
      <c r="E119" s="73">
        <f t="shared" si="5"/>
        <v>4213576.72</v>
      </c>
      <c r="F119" s="73">
        <f t="shared" si="5"/>
        <v>4213576.72</v>
      </c>
    </row>
    <row r="120" spans="1:8">
      <c r="A120" s="23" t="s">
        <v>99</v>
      </c>
      <c r="B120" s="73">
        <f>B119-C34*(1-C30)</f>
        <v>-1828123.28</v>
      </c>
      <c r="C120" s="73">
        <f>B120+C119*80%</f>
        <v>1542738.096</v>
      </c>
      <c r="D120" s="73">
        <v>0</v>
      </c>
      <c r="E120" s="73">
        <v>0</v>
      </c>
      <c r="F120" s="73">
        <v>0</v>
      </c>
    </row>
    <row r="121" spans="1:8">
      <c r="A121" s="76" t="s">
        <v>100</v>
      </c>
      <c r="B121" s="73">
        <f>B119-C34*(1-C30)</f>
        <v>-1828123.28</v>
      </c>
      <c r="C121" s="73">
        <f>C119*20%+C120</f>
        <v>2385453.44</v>
      </c>
      <c r="D121" s="73">
        <f>D119</f>
        <v>4213576.72</v>
      </c>
      <c r="E121" s="73">
        <f>E119</f>
        <v>4213576.72</v>
      </c>
      <c r="F121" s="73">
        <f>F119</f>
        <v>4213576.72</v>
      </c>
    </row>
    <row r="122" spans="1:8">
      <c r="A122" s="23" t="s">
        <v>101</v>
      </c>
      <c r="B122" s="73">
        <f>B119</f>
        <v>4213576.72</v>
      </c>
      <c r="C122" s="73">
        <f t="shared" ref="C122:F122" si="6">C119-C121*$D$102</f>
        <v>3604272.275088</v>
      </c>
      <c r="D122" s="73">
        <f t="shared" si="6"/>
        <v>3137323.886294</v>
      </c>
      <c r="E122" s="73">
        <f t="shared" si="6"/>
        <v>3137323.886294</v>
      </c>
      <c r="F122" s="73">
        <f t="shared" si="6"/>
        <v>3137323.886294</v>
      </c>
    </row>
    <row r="123" ht="24" customHeight="1" spans="1:8">
      <c r="A123" s="16"/>
    </row>
    <row r="126" spans="1:8">
      <c r="A126" s="70" t="s">
        <v>103</v>
      </c>
      <c r="B126" s="71"/>
    </row>
    <row r="127" spans="1:8">
      <c r="B127" s="72" t="s">
        <v>75</v>
      </c>
      <c r="C127" s="72" t="s">
        <v>76</v>
      </c>
      <c r="D127" s="72" t="s">
        <v>77</v>
      </c>
      <c r="E127" s="72" t="s">
        <v>78</v>
      </c>
      <c r="F127" s="72" t="s">
        <v>79</v>
      </c>
    </row>
    <row r="128" spans="1:8">
      <c r="A128" s="71" t="s">
        <v>96</v>
      </c>
      <c r="B128" s="73">
        <f>C42+C43+C44+C46+C47+C45</f>
        <v>544855.28</v>
      </c>
      <c r="C128" s="74"/>
      <c r="D128" s="74"/>
      <c r="E128" s="74"/>
      <c r="F128" s="74"/>
    </row>
    <row r="129" spans="1:6">
      <c r="A129" s="75" t="s">
        <v>97</v>
      </c>
      <c r="B129" s="73">
        <f>C40</f>
        <v>4758432</v>
      </c>
      <c r="C129" s="73">
        <f>B129*(1-$C$31)</f>
        <v>4282588.8</v>
      </c>
      <c r="D129" s="73">
        <f>C129*(1-$C$31)</f>
        <v>3854329.92</v>
      </c>
      <c r="E129" s="73">
        <f>D129*(1-$C$31)</f>
        <v>3468896.928</v>
      </c>
      <c r="F129" s="73">
        <f>E129*(1-$C$31)</f>
        <v>3122007.2352</v>
      </c>
    </row>
    <row r="130" spans="1:6">
      <c r="A130" s="23" t="s">
        <v>98</v>
      </c>
      <c r="B130" s="73">
        <f t="shared" ref="B130:F130" si="7">B129-$B$117</f>
        <v>4213576.72</v>
      </c>
      <c r="C130" s="73">
        <f t="shared" si="7"/>
        <v>3737733.52</v>
      </c>
      <c r="D130" s="73">
        <f t="shared" si="7"/>
        <v>3309474.64</v>
      </c>
      <c r="E130" s="73">
        <f t="shared" si="7"/>
        <v>2924041.648</v>
      </c>
      <c r="F130" s="73">
        <f t="shared" si="7"/>
        <v>2577151.9552</v>
      </c>
    </row>
    <row r="131" spans="1:6">
      <c r="A131" s="23" t="s">
        <v>99</v>
      </c>
      <c r="B131" s="73">
        <f>B119-C34*(1-C30)</f>
        <v>-1828123.28</v>
      </c>
      <c r="C131" s="73">
        <f>B131+C130*80%</f>
        <v>1162063.536</v>
      </c>
      <c r="D131" s="73">
        <f>C131+D130*80%</f>
        <v>3809643.248</v>
      </c>
      <c r="E131" s="73">
        <v>0</v>
      </c>
      <c r="F131" s="73">
        <v>0</v>
      </c>
    </row>
    <row r="132" spans="1:6">
      <c r="A132" s="76" t="s">
        <v>100</v>
      </c>
      <c r="B132" s="73">
        <f>B119-C34*(1-C30)</f>
        <v>-1828123.28</v>
      </c>
      <c r="C132" s="73">
        <f>C130*20%</f>
        <v>747546.704</v>
      </c>
      <c r="D132" s="73">
        <f>D130*20%+D131</f>
        <v>4471538.176</v>
      </c>
      <c r="E132" s="73">
        <f>E130</f>
        <v>2924041.648</v>
      </c>
      <c r="F132" s="73">
        <f>F130</f>
        <v>2577151.9552</v>
      </c>
    </row>
    <row r="133" spans="1:6">
      <c r="A133" s="23" t="s">
        <v>101</v>
      </c>
      <c r="B133" s="73">
        <f>B130</f>
        <v>4213576.72</v>
      </c>
      <c r="C133" s="73">
        <f t="shared" ref="C133:F133" si="8">C130-C132*$D$102</f>
        <v>3546791.4031308</v>
      </c>
      <c r="D133" s="73">
        <f t="shared" si="8"/>
        <v>2167332.0013952</v>
      </c>
      <c r="E133" s="73">
        <f t="shared" si="8"/>
        <v>2177168.3100596</v>
      </c>
      <c r="F133" s="73">
        <f t="shared" si="8"/>
        <v>1918882.91704304</v>
      </c>
    </row>
    <row r="137" spans="1:6">
      <c r="A137" s="77"/>
    </row>
    <row r="143" spans="1:6">
      <c r="A143" s="78"/>
    </row>
    <row r="144" spans="1:6">
      <c r="A144" s="78"/>
    </row>
    <row r="145" spans="1:5">
      <c r="A145" s="78"/>
    </row>
    <row r="146" spans="1:5">
      <c r="A146" s="78"/>
    </row>
    <row r="147" spans="1:5">
      <c r="A147" s="78"/>
    </row>
    <row r="148" spans="1:5">
      <c r="A148" s="78"/>
    </row>
    <row r="149" spans="1:5">
      <c r="A149" s="78"/>
    </row>
    <row r="150" spans="1:5">
      <c r="A150" s="78"/>
    </row>
    <row r="151" spans="1:5">
      <c r="A151" s="78"/>
    </row>
    <row r="155" spans="1:5">
      <c r="A155" s="79"/>
      <c r="B155" s="79"/>
      <c r="C155" s="79"/>
      <c r="D155" s="79"/>
      <c r="E155" s="79"/>
    </row>
    <row r="156" spans="1:5">
      <c r="A156" s="80"/>
      <c r="B156" s="81"/>
      <c r="C156" s="80"/>
      <c r="D156" s="82"/>
      <c r="E156" s="83"/>
    </row>
    <row r="157" spans="1:5">
      <c r="A157" s="80"/>
      <c r="B157" s="82"/>
      <c r="C157" s="82"/>
      <c r="D157" s="82"/>
      <c r="E157" s="80"/>
    </row>
    <row r="158" spans="1:5">
      <c r="A158" s="80"/>
      <c r="B158" s="82"/>
      <c r="C158" s="82"/>
      <c r="D158" s="82"/>
      <c r="E158" s="80"/>
    </row>
    <row r="159" spans="1:5">
      <c r="A159" s="80"/>
      <c r="B159" s="82"/>
      <c r="C159" s="82"/>
      <c r="D159" s="82"/>
      <c r="E159" s="80"/>
    </row>
    <row r="160" ht="21" customHeight="1" spans="1:5">
      <c r="A160" s="80"/>
      <c r="B160" s="82"/>
      <c r="C160" s="80"/>
      <c r="D160" s="82"/>
      <c r="E160" s="80"/>
    </row>
    <row r="162" spans="1:1">
      <c r="A162" s="84"/>
    </row>
    <row r="163" spans="1:1">
      <c r="A163" s="36"/>
    </row>
  </sheetData>
  <mergeCells count="7">
    <mergeCell ref="A1:E1"/>
    <mergeCell ref="A2:E2"/>
    <mergeCell ref="A3:E3"/>
    <mergeCell ref="A100:H100"/>
    <mergeCell ref="A101:H101"/>
    <mergeCell ref="A103:H103"/>
    <mergeCell ref="A113:H113"/>
  </mergeCells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ROI Model 5090</vt:lpstr>
      <vt:lpstr>ROI Model pro 6000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WPS_1685103904</cp:lastModifiedBy>
  <cp:revision>0</cp:revision>
  <dcterms:created xsi:type="dcterms:W3CDTF">2026-06-26T10:04:00Z</dcterms:created>
  <dcterms:modified xsi:type="dcterms:W3CDTF">2026-08-14T13:47:59Z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7E1227857B498102137A7D6A43926F2E_43</vt:lpwstr>
  </property>
  <property fmtid="{D5CDD505-2E9C-101B-9397-08002B2CF9AE}" pid="4" name="KSOProductBuildVer">
    <vt:lpwstr>1033-12.1.26050.26050</vt:lpwstr>
  </property>
</Properties>
</file>